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ourse\excel\assignments\Mini project\"/>
    </mc:Choice>
  </mc:AlternateContent>
  <xr:revisionPtr revIDLastSave="0" documentId="13_ncr:1_{1750560A-B886-4C1E-9862-A7DD4C15E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Ecommerce_Data" sheetId="1" r:id="rId1"/>
    <sheet name="pivot" sheetId="2" r:id="rId2"/>
  </sheets>
  <definedNames>
    <definedName name="_xlnm._FilterDatabase" localSheetId="0" hidden="1">Raw_Ecommerce_Data!$A$1:$Q$551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1" i="1" l="1"/>
  <c r="Q4" i="1"/>
  <c r="Q5" i="1"/>
  <c r="Q354" i="1"/>
  <c r="Q359" i="1"/>
  <c r="Q8" i="1"/>
  <c r="Q9" i="1"/>
  <c r="Q10" i="1"/>
  <c r="Q11" i="1"/>
  <c r="Q154" i="1"/>
  <c r="Q361" i="1"/>
  <c r="Q14" i="1"/>
  <c r="Q15" i="1"/>
  <c r="Q16" i="1"/>
  <c r="Q17" i="1"/>
  <c r="Q3" i="1"/>
  <c r="Q19" i="1"/>
  <c r="Q155" i="1"/>
  <c r="Q21" i="1"/>
  <c r="Q22" i="1"/>
  <c r="Q6" i="1"/>
  <c r="Q7" i="1"/>
  <c r="Q12" i="1"/>
  <c r="Q26" i="1"/>
  <c r="Q27" i="1"/>
  <c r="Q28" i="1"/>
  <c r="Q367" i="1"/>
  <c r="Q30" i="1"/>
  <c r="Q31" i="1"/>
  <c r="Q32" i="1"/>
  <c r="Q33" i="1"/>
  <c r="Q371" i="1"/>
  <c r="Q35" i="1"/>
  <c r="Q156" i="1"/>
  <c r="Q37" i="1"/>
  <c r="Q38" i="1"/>
  <c r="Q13" i="1"/>
  <c r="Q40" i="1"/>
  <c r="Q41" i="1"/>
  <c r="Q42" i="1"/>
  <c r="Q43" i="1"/>
  <c r="Q44" i="1"/>
  <c r="Q45" i="1"/>
  <c r="Q46" i="1"/>
  <c r="Q47" i="1"/>
  <c r="Q48" i="1"/>
  <c r="Q49" i="1"/>
  <c r="Q266" i="1"/>
  <c r="Q51" i="1"/>
  <c r="Q52" i="1"/>
  <c r="Q53" i="1"/>
  <c r="Q18" i="1"/>
  <c r="Q55" i="1"/>
  <c r="Q56" i="1"/>
  <c r="Q372" i="1"/>
  <c r="Q58" i="1"/>
  <c r="Q59" i="1"/>
  <c r="Q60" i="1"/>
  <c r="Q61" i="1"/>
  <c r="Q62" i="1"/>
  <c r="Q267" i="1"/>
  <c r="Q271" i="1"/>
  <c r="Q273" i="1"/>
  <c r="Q66" i="1"/>
  <c r="Q67" i="1"/>
  <c r="Q20" i="1"/>
  <c r="Q69" i="1"/>
  <c r="Q70" i="1"/>
  <c r="Q71" i="1"/>
  <c r="Q158" i="1"/>
  <c r="Q274" i="1"/>
  <c r="Q23" i="1"/>
  <c r="Q75" i="1"/>
  <c r="Q374" i="1"/>
  <c r="Q77" i="1"/>
  <c r="Q78" i="1"/>
  <c r="Q79" i="1"/>
  <c r="Q80" i="1"/>
  <c r="Q81" i="1"/>
  <c r="Q82" i="1"/>
  <c r="Q375" i="1"/>
  <c r="Q275" i="1"/>
  <c r="Q376" i="1"/>
  <c r="Q378" i="1"/>
  <c r="Q24" i="1"/>
  <c r="Q88" i="1"/>
  <c r="Q25" i="1"/>
  <c r="Q90" i="1"/>
  <c r="Q384" i="1"/>
  <c r="Q92" i="1"/>
  <c r="Q93" i="1"/>
  <c r="Q94" i="1"/>
  <c r="Q95" i="1"/>
  <c r="Q96" i="1"/>
  <c r="Q97" i="1"/>
  <c r="Q276" i="1"/>
  <c r="Q99" i="1"/>
  <c r="Q385" i="1"/>
  <c r="Q386" i="1"/>
  <c r="Q102" i="1"/>
  <c r="Q103" i="1"/>
  <c r="Q387" i="1"/>
  <c r="Q161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68" i="1"/>
  <c r="Q120" i="1"/>
  <c r="Q121" i="1"/>
  <c r="Q122" i="1"/>
  <c r="Q123" i="1"/>
  <c r="Q390" i="1"/>
  <c r="Q172" i="1"/>
  <c r="Q29" i="1"/>
  <c r="Q394" i="1"/>
  <c r="Q128" i="1"/>
  <c r="Q34" i="1"/>
  <c r="Q130" i="1"/>
  <c r="Q131" i="1"/>
  <c r="Q36" i="1"/>
  <c r="Q395" i="1"/>
  <c r="Q39" i="1"/>
  <c r="Q50" i="1"/>
  <c r="Q136" i="1"/>
  <c r="Q398" i="1"/>
  <c r="Q138" i="1"/>
  <c r="Q139" i="1"/>
  <c r="Q140" i="1"/>
  <c r="Q141" i="1"/>
  <c r="Q142" i="1"/>
  <c r="Q143" i="1"/>
  <c r="Q144" i="1"/>
  <c r="Q54" i="1"/>
  <c r="Q57" i="1"/>
  <c r="Q147" i="1"/>
  <c r="Q148" i="1"/>
  <c r="Q149" i="1"/>
  <c r="Q150" i="1"/>
  <c r="Q277" i="1"/>
  <c r="Q152" i="1"/>
  <c r="Q153" i="1"/>
  <c r="Q278" i="1"/>
  <c r="Q401" i="1"/>
  <c r="Q63" i="1"/>
  <c r="Q157" i="1"/>
  <c r="Q173" i="1"/>
  <c r="Q159" i="1"/>
  <c r="Q160" i="1"/>
  <c r="Q177" i="1"/>
  <c r="Q162" i="1"/>
  <c r="Q163" i="1"/>
  <c r="Q164" i="1"/>
  <c r="Q165" i="1"/>
  <c r="Q166" i="1"/>
  <c r="Q167" i="1"/>
  <c r="Q402" i="1"/>
  <c r="Q169" i="1"/>
  <c r="Q170" i="1"/>
  <c r="Q171" i="1"/>
  <c r="Q178" i="1"/>
  <c r="Q64" i="1"/>
  <c r="Q174" i="1"/>
  <c r="Q175" i="1"/>
  <c r="Q176" i="1"/>
  <c r="Q180" i="1"/>
  <c r="Q65" i="1"/>
  <c r="Q179" i="1"/>
  <c r="Q182" i="1"/>
  <c r="Q181" i="1"/>
  <c r="Q403" i="1"/>
  <c r="Q405" i="1"/>
  <c r="Q184" i="1"/>
  <c r="Q185" i="1"/>
  <c r="Q406" i="1"/>
  <c r="Q187" i="1"/>
  <c r="Q188" i="1"/>
  <c r="Q407" i="1"/>
  <c r="Q190" i="1"/>
  <c r="Q408" i="1"/>
  <c r="Q192" i="1"/>
  <c r="Q410" i="1"/>
  <c r="Q183" i="1"/>
  <c r="Q195" i="1"/>
  <c r="Q196" i="1"/>
  <c r="Q197" i="1"/>
  <c r="Q68" i="1"/>
  <c r="Q199" i="1"/>
  <c r="Q200" i="1"/>
  <c r="Q283" i="1"/>
  <c r="Q413" i="1"/>
  <c r="Q203" i="1"/>
  <c r="Q72" i="1"/>
  <c r="Q415" i="1"/>
  <c r="Q284" i="1"/>
  <c r="Q207" i="1"/>
  <c r="Q73" i="1"/>
  <c r="Q418" i="1"/>
  <c r="Q210" i="1"/>
  <c r="Q186" i="1"/>
  <c r="Q212" i="1"/>
  <c r="Q213" i="1"/>
  <c r="Q214" i="1"/>
  <c r="Q215" i="1"/>
  <c r="Q216" i="1"/>
  <c r="Q217" i="1"/>
  <c r="Q218" i="1"/>
  <c r="Q219" i="1"/>
  <c r="Q74" i="1"/>
  <c r="Q419" i="1"/>
  <c r="Q76" i="1"/>
  <c r="Q223" i="1"/>
  <c r="Q224" i="1"/>
  <c r="Q225" i="1"/>
  <c r="Q226" i="1"/>
  <c r="Q227" i="1"/>
  <c r="Q228" i="1"/>
  <c r="Q420" i="1"/>
  <c r="Q230" i="1"/>
  <c r="Q231" i="1"/>
  <c r="Q189" i="1"/>
  <c r="Q191" i="1"/>
  <c r="Q83" i="1"/>
  <c r="Q193" i="1"/>
  <c r="Q421" i="1"/>
  <c r="Q285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422" i="1"/>
  <c r="Q252" i="1"/>
  <c r="Q194" i="1"/>
  <c r="Q254" i="1"/>
  <c r="Q255" i="1"/>
  <c r="Q256" i="1"/>
  <c r="Q257" i="1"/>
  <c r="Q258" i="1"/>
  <c r="Q198" i="1"/>
  <c r="Q260" i="1"/>
  <c r="Q84" i="1"/>
  <c r="Q85" i="1"/>
  <c r="Q263" i="1"/>
  <c r="Q264" i="1"/>
  <c r="Q265" i="1"/>
  <c r="Q423" i="1"/>
  <c r="Q86" i="1"/>
  <c r="Q268" i="1"/>
  <c r="Q269" i="1"/>
  <c r="Q270" i="1"/>
  <c r="Q87" i="1"/>
  <c r="Q272" i="1"/>
  <c r="Q201" i="1"/>
  <c r="Q426" i="1"/>
  <c r="Q427" i="1"/>
  <c r="Q428" i="1"/>
  <c r="Q89" i="1"/>
  <c r="Q299" i="1"/>
  <c r="Q279" i="1"/>
  <c r="Q280" i="1"/>
  <c r="Q281" i="1"/>
  <c r="Q282" i="1"/>
  <c r="Q202" i="1"/>
  <c r="Q302" i="1"/>
  <c r="Q204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05" i="1"/>
  <c r="Q300" i="1"/>
  <c r="Q301" i="1"/>
  <c r="Q91" i="1"/>
  <c r="Q206" i="1"/>
  <c r="Q304" i="1"/>
  <c r="Q305" i="1"/>
  <c r="Q306" i="1"/>
  <c r="Q307" i="1"/>
  <c r="Q98" i="1"/>
  <c r="Q429" i="1"/>
  <c r="Q310" i="1"/>
  <c r="Q430" i="1"/>
  <c r="Q312" i="1"/>
  <c r="Q313" i="1"/>
  <c r="Q303" i="1"/>
  <c r="Q315" i="1"/>
  <c r="Q316" i="1"/>
  <c r="Q317" i="1"/>
  <c r="Q318" i="1"/>
  <c r="Q319" i="1"/>
  <c r="Q308" i="1"/>
  <c r="Q100" i="1"/>
  <c r="Q322" i="1"/>
  <c r="Q323" i="1"/>
  <c r="Q324" i="1"/>
  <c r="Q101" i="1"/>
  <c r="Q431" i="1"/>
  <c r="Q327" i="1"/>
  <c r="Q328" i="1"/>
  <c r="Q434" i="1"/>
  <c r="Q104" i="1"/>
  <c r="Q331" i="1"/>
  <c r="Q332" i="1"/>
  <c r="Q208" i="1"/>
  <c r="Q334" i="1"/>
  <c r="Q335" i="1"/>
  <c r="Q336" i="1"/>
  <c r="Q337" i="1"/>
  <c r="Q338" i="1"/>
  <c r="Q309" i="1"/>
  <c r="Q436" i="1"/>
  <c r="Q341" i="1"/>
  <c r="Q441" i="1"/>
  <c r="Q343" i="1"/>
  <c r="Q344" i="1"/>
  <c r="Q345" i="1"/>
  <c r="Q346" i="1"/>
  <c r="Q347" i="1"/>
  <c r="Q348" i="1"/>
  <c r="Q349" i="1"/>
  <c r="Q209" i="1"/>
  <c r="Q351" i="1"/>
  <c r="Q352" i="1"/>
  <c r="Q353" i="1"/>
  <c r="Q105" i="1"/>
  <c r="Q355" i="1"/>
  <c r="Q356" i="1"/>
  <c r="Q357" i="1"/>
  <c r="Q358" i="1"/>
  <c r="Q444" i="1"/>
  <c r="Q360" i="1"/>
  <c r="Q447" i="1"/>
  <c r="Q362" i="1"/>
  <c r="Q363" i="1"/>
  <c r="Q364" i="1"/>
  <c r="Q365" i="1"/>
  <c r="Q366" i="1"/>
  <c r="Q119" i="1"/>
  <c r="Q368" i="1"/>
  <c r="Q369" i="1"/>
  <c r="Q370" i="1"/>
  <c r="Q452" i="1"/>
  <c r="Q454" i="1"/>
  <c r="Q373" i="1"/>
  <c r="Q455" i="1"/>
  <c r="Q456" i="1"/>
  <c r="Q311" i="1"/>
  <c r="Q377" i="1"/>
  <c r="Q459" i="1"/>
  <c r="Q379" i="1"/>
  <c r="Q380" i="1"/>
  <c r="Q381" i="1"/>
  <c r="Q382" i="1"/>
  <c r="Q383" i="1"/>
  <c r="Q461" i="1"/>
  <c r="Q463" i="1"/>
  <c r="Q124" i="1"/>
  <c r="Q464" i="1"/>
  <c r="Q388" i="1"/>
  <c r="Q389" i="1"/>
  <c r="Q466" i="1"/>
  <c r="Q391" i="1"/>
  <c r="Q392" i="1"/>
  <c r="Q393" i="1"/>
  <c r="Q211" i="1"/>
  <c r="Q470" i="1"/>
  <c r="Q396" i="1"/>
  <c r="Q397" i="1"/>
  <c r="Q314" i="1"/>
  <c r="Q399" i="1"/>
  <c r="Q400" i="1"/>
  <c r="Q320" i="1"/>
  <c r="Q220" i="1"/>
  <c r="Q125" i="1"/>
  <c r="Q404" i="1"/>
  <c r="Q126" i="1"/>
  <c r="Q471" i="1"/>
  <c r="Q472" i="1"/>
  <c r="Q473" i="1"/>
  <c r="Q409" i="1"/>
  <c r="Q474" i="1"/>
  <c r="Q411" i="1"/>
  <c r="Q412" i="1"/>
  <c r="Q321" i="1"/>
  <c r="Q414" i="1"/>
  <c r="Q221" i="1"/>
  <c r="Q416" i="1"/>
  <c r="Q417" i="1"/>
  <c r="Q127" i="1"/>
  <c r="Q475" i="1"/>
  <c r="Q476" i="1"/>
  <c r="Q222" i="1"/>
  <c r="Q325" i="1"/>
  <c r="Q480" i="1"/>
  <c r="Q424" i="1"/>
  <c r="Q425" i="1"/>
  <c r="Q326" i="1"/>
  <c r="Q129" i="1"/>
  <c r="Q132" i="1"/>
  <c r="Q229" i="1"/>
  <c r="Q232" i="1"/>
  <c r="Q233" i="1"/>
  <c r="Q432" i="1"/>
  <c r="Q433" i="1"/>
  <c r="Q133" i="1"/>
  <c r="Q435" i="1"/>
  <c r="Q134" i="1"/>
  <c r="Q437" i="1"/>
  <c r="Q438" i="1"/>
  <c r="Q439" i="1"/>
  <c r="Q440" i="1"/>
  <c r="Q484" i="1"/>
  <c r="Q442" i="1"/>
  <c r="Q443" i="1"/>
  <c r="Q329" i="1"/>
  <c r="Q445" i="1"/>
  <c r="Q446" i="1"/>
  <c r="Q485" i="1"/>
  <c r="Q448" i="1"/>
  <c r="Q449" i="1"/>
  <c r="Q450" i="1"/>
  <c r="Q451" i="1"/>
  <c r="Q234" i="1"/>
  <c r="Q453" i="1"/>
  <c r="Q330" i="1"/>
  <c r="Q333" i="1"/>
  <c r="Q490" i="1"/>
  <c r="Q457" i="1"/>
  <c r="Q458" i="1"/>
  <c r="Q339" i="1"/>
  <c r="Q460" i="1"/>
  <c r="Q494" i="1"/>
  <c r="Q462" i="1"/>
  <c r="Q497" i="1"/>
  <c r="Q135" i="1"/>
  <c r="Q465" i="1"/>
  <c r="Q499" i="1"/>
  <c r="Q467" i="1"/>
  <c r="Q468" i="1"/>
  <c r="Q469" i="1"/>
  <c r="Q235" i="1"/>
  <c r="Q340" i="1"/>
  <c r="Q236" i="1"/>
  <c r="Q500" i="1"/>
  <c r="Q137" i="1"/>
  <c r="Q342" i="1"/>
  <c r="Q501" i="1"/>
  <c r="Q477" i="1"/>
  <c r="Q478" i="1"/>
  <c r="Q479" i="1"/>
  <c r="Q503" i="1"/>
  <c r="Q481" i="1"/>
  <c r="Q482" i="1"/>
  <c r="Q483" i="1"/>
  <c r="Q237" i="1"/>
  <c r="Q505" i="1"/>
  <c r="Q486" i="1"/>
  <c r="Q487" i="1"/>
  <c r="Q488" i="1"/>
  <c r="Q489" i="1"/>
  <c r="Q145" i="1"/>
  <c r="Q491" i="1"/>
  <c r="Q492" i="1"/>
  <c r="Q493" i="1"/>
  <c r="Q511" i="1"/>
  <c r="Q495" i="1"/>
  <c r="Q496" i="1"/>
  <c r="Q251" i="1"/>
  <c r="Q498" i="1"/>
  <c r="Q253" i="1"/>
  <c r="Q513" i="1"/>
  <c r="Q146" i="1"/>
  <c r="Q502" i="1"/>
  <c r="Q350" i="1"/>
  <c r="Q504" i="1"/>
  <c r="Q259" i="1"/>
  <c r="Q506" i="1"/>
  <c r="Q507" i="1"/>
  <c r="Q508" i="1"/>
  <c r="Q509" i="1"/>
  <c r="Q510" i="1"/>
  <c r="Q261" i="1"/>
  <c r="Q512" i="1"/>
  <c r="Q514" i="1"/>
  <c r="Q262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2" i="1"/>
  <c r="P151" i="1"/>
  <c r="P4" i="1"/>
  <c r="P5" i="1"/>
  <c r="P354" i="1"/>
  <c r="P359" i="1"/>
  <c r="P8" i="1"/>
  <c r="P9" i="1"/>
  <c r="P10" i="1"/>
  <c r="P11" i="1"/>
  <c r="P154" i="1"/>
  <c r="P361" i="1"/>
  <c r="P14" i="1"/>
  <c r="P15" i="1"/>
  <c r="P16" i="1"/>
  <c r="P17" i="1"/>
  <c r="P3" i="1"/>
  <c r="P19" i="1"/>
  <c r="P155" i="1"/>
  <c r="P21" i="1"/>
  <c r="P22" i="1"/>
  <c r="P6" i="1"/>
  <c r="P7" i="1"/>
  <c r="P12" i="1"/>
  <c r="P26" i="1"/>
  <c r="P27" i="1"/>
  <c r="P28" i="1"/>
  <c r="P367" i="1"/>
  <c r="P30" i="1"/>
  <c r="P31" i="1"/>
  <c r="P32" i="1"/>
  <c r="P33" i="1"/>
  <c r="P371" i="1"/>
  <c r="P35" i="1"/>
  <c r="P156" i="1"/>
  <c r="P37" i="1"/>
  <c r="P38" i="1"/>
  <c r="P13" i="1"/>
  <c r="P40" i="1"/>
  <c r="P41" i="1"/>
  <c r="P42" i="1"/>
  <c r="P43" i="1"/>
  <c r="P44" i="1"/>
  <c r="P45" i="1"/>
  <c r="P46" i="1"/>
  <c r="P47" i="1"/>
  <c r="P48" i="1"/>
  <c r="P49" i="1"/>
  <c r="P266" i="1"/>
  <c r="P51" i="1"/>
  <c r="P52" i="1"/>
  <c r="P53" i="1"/>
  <c r="P18" i="1"/>
  <c r="P55" i="1"/>
  <c r="P56" i="1"/>
  <c r="P372" i="1"/>
  <c r="P58" i="1"/>
  <c r="P59" i="1"/>
  <c r="P60" i="1"/>
  <c r="P61" i="1"/>
  <c r="P62" i="1"/>
  <c r="P267" i="1"/>
  <c r="P271" i="1"/>
  <c r="P273" i="1"/>
  <c r="P66" i="1"/>
  <c r="P67" i="1"/>
  <c r="P20" i="1"/>
  <c r="P69" i="1"/>
  <c r="P70" i="1"/>
  <c r="P71" i="1"/>
  <c r="P158" i="1"/>
  <c r="P274" i="1"/>
  <c r="P23" i="1"/>
  <c r="P75" i="1"/>
  <c r="P374" i="1"/>
  <c r="P77" i="1"/>
  <c r="P78" i="1"/>
  <c r="P79" i="1"/>
  <c r="P80" i="1"/>
  <c r="P81" i="1"/>
  <c r="P82" i="1"/>
  <c r="P375" i="1"/>
  <c r="P275" i="1"/>
  <c r="P376" i="1"/>
  <c r="P378" i="1"/>
  <c r="P24" i="1"/>
  <c r="P88" i="1"/>
  <c r="P25" i="1"/>
  <c r="P90" i="1"/>
  <c r="P384" i="1"/>
  <c r="P92" i="1"/>
  <c r="P93" i="1"/>
  <c r="P94" i="1"/>
  <c r="P95" i="1"/>
  <c r="P96" i="1"/>
  <c r="P97" i="1"/>
  <c r="P276" i="1"/>
  <c r="P99" i="1"/>
  <c r="P385" i="1"/>
  <c r="P386" i="1"/>
  <c r="P102" i="1"/>
  <c r="P103" i="1"/>
  <c r="P387" i="1"/>
  <c r="P161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68" i="1"/>
  <c r="P120" i="1"/>
  <c r="P121" i="1"/>
  <c r="P122" i="1"/>
  <c r="P123" i="1"/>
  <c r="P390" i="1"/>
  <c r="P172" i="1"/>
  <c r="P29" i="1"/>
  <c r="P394" i="1"/>
  <c r="P128" i="1"/>
  <c r="P34" i="1"/>
  <c r="P130" i="1"/>
  <c r="P131" i="1"/>
  <c r="P36" i="1"/>
  <c r="P395" i="1"/>
  <c r="P39" i="1"/>
  <c r="P50" i="1"/>
  <c r="P136" i="1"/>
  <c r="P398" i="1"/>
  <c r="P138" i="1"/>
  <c r="P139" i="1"/>
  <c r="P140" i="1"/>
  <c r="P141" i="1"/>
  <c r="P142" i="1"/>
  <c r="P143" i="1"/>
  <c r="P144" i="1"/>
  <c r="P54" i="1"/>
  <c r="P57" i="1"/>
  <c r="P147" i="1"/>
  <c r="P148" i="1"/>
  <c r="P149" i="1"/>
  <c r="P150" i="1"/>
  <c r="P277" i="1"/>
  <c r="P152" i="1"/>
  <c r="P153" i="1"/>
  <c r="P278" i="1"/>
  <c r="P401" i="1"/>
  <c r="P63" i="1"/>
  <c r="P157" i="1"/>
  <c r="P173" i="1"/>
  <c r="P159" i="1"/>
  <c r="P160" i="1"/>
  <c r="P177" i="1"/>
  <c r="P162" i="1"/>
  <c r="P163" i="1"/>
  <c r="P164" i="1"/>
  <c r="P165" i="1"/>
  <c r="P166" i="1"/>
  <c r="P167" i="1"/>
  <c r="P402" i="1"/>
  <c r="P169" i="1"/>
  <c r="P170" i="1"/>
  <c r="P171" i="1"/>
  <c r="P178" i="1"/>
  <c r="P64" i="1"/>
  <c r="P174" i="1"/>
  <c r="P175" i="1"/>
  <c r="P176" i="1"/>
  <c r="P180" i="1"/>
  <c r="P65" i="1"/>
  <c r="P179" i="1"/>
  <c r="P182" i="1"/>
  <c r="P181" i="1"/>
  <c r="P403" i="1"/>
  <c r="P405" i="1"/>
  <c r="P184" i="1"/>
  <c r="P185" i="1"/>
  <c r="P406" i="1"/>
  <c r="P187" i="1"/>
  <c r="P188" i="1"/>
  <c r="P407" i="1"/>
  <c r="P190" i="1"/>
  <c r="P408" i="1"/>
  <c r="P192" i="1"/>
  <c r="P410" i="1"/>
  <c r="P183" i="1"/>
  <c r="P195" i="1"/>
  <c r="P196" i="1"/>
  <c r="P197" i="1"/>
  <c r="P68" i="1"/>
  <c r="P199" i="1"/>
  <c r="P200" i="1"/>
  <c r="P283" i="1"/>
  <c r="P413" i="1"/>
  <c r="P203" i="1"/>
  <c r="P72" i="1"/>
  <c r="P415" i="1"/>
  <c r="P284" i="1"/>
  <c r="P207" i="1"/>
  <c r="P73" i="1"/>
  <c r="P418" i="1"/>
  <c r="P210" i="1"/>
  <c r="P186" i="1"/>
  <c r="P212" i="1"/>
  <c r="P213" i="1"/>
  <c r="P214" i="1"/>
  <c r="P215" i="1"/>
  <c r="P216" i="1"/>
  <c r="P217" i="1"/>
  <c r="P218" i="1"/>
  <c r="P219" i="1"/>
  <c r="P74" i="1"/>
  <c r="P419" i="1"/>
  <c r="P76" i="1"/>
  <c r="P223" i="1"/>
  <c r="P224" i="1"/>
  <c r="P225" i="1"/>
  <c r="P226" i="1"/>
  <c r="P227" i="1"/>
  <c r="P228" i="1"/>
  <c r="P420" i="1"/>
  <c r="P230" i="1"/>
  <c r="P231" i="1"/>
  <c r="P189" i="1"/>
  <c r="P191" i="1"/>
  <c r="P83" i="1"/>
  <c r="P193" i="1"/>
  <c r="P421" i="1"/>
  <c r="P285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422" i="1"/>
  <c r="P252" i="1"/>
  <c r="P194" i="1"/>
  <c r="P254" i="1"/>
  <c r="P255" i="1"/>
  <c r="P256" i="1"/>
  <c r="P257" i="1"/>
  <c r="P258" i="1"/>
  <c r="P198" i="1"/>
  <c r="P260" i="1"/>
  <c r="P84" i="1"/>
  <c r="P85" i="1"/>
  <c r="P263" i="1"/>
  <c r="P264" i="1"/>
  <c r="P265" i="1"/>
  <c r="P423" i="1"/>
  <c r="P86" i="1"/>
  <c r="P268" i="1"/>
  <c r="P269" i="1"/>
  <c r="P270" i="1"/>
  <c r="P87" i="1"/>
  <c r="P272" i="1"/>
  <c r="P201" i="1"/>
  <c r="P426" i="1"/>
  <c r="P427" i="1"/>
  <c r="P428" i="1"/>
  <c r="P89" i="1"/>
  <c r="P299" i="1"/>
  <c r="P279" i="1"/>
  <c r="P280" i="1"/>
  <c r="P281" i="1"/>
  <c r="P282" i="1"/>
  <c r="P202" i="1"/>
  <c r="P302" i="1"/>
  <c r="P204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05" i="1"/>
  <c r="P300" i="1"/>
  <c r="P301" i="1"/>
  <c r="P91" i="1"/>
  <c r="P206" i="1"/>
  <c r="P304" i="1"/>
  <c r="P305" i="1"/>
  <c r="P306" i="1"/>
  <c r="P307" i="1"/>
  <c r="P98" i="1"/>
  <c r="P429" i="1"/>
  <c r="P310" i="1"/>
  <c r="P430" i="1"/>
  <c r="P312" i="1"/>
  <c r="P313" i="1"/>
  <c r="P303" i="1"/>
  <c r="P315" i="1"/>
  <c r="P316" i="1"/>
  <c r="P317" i="1"/>
  <c r="P318" i="1"/>
  <c r="P319" i="1"/>
  <c r="P308" i="1"/>
  <c r="P100" i="1"/>
  <c r="P322" i="1"/>
  <c r="P323" i="1"/>
  <c r="P324" i="1"/>
  <c r="P101" i="1"/>
  <c r="P431" i="1"/>
  <c r="P327" i="1"/>
  <c r="P328" i="1"/>
  <c r="P434" i="1"/>
  <c r="P104" i="1"/>
  <c r="P331" i="1"/>
  <c r="P332" i="1"/>
  <c r="P208" i="1"/>
  <c r="P334" i="1"/>
  <c r="P335" i="1"/>
  <c r="P336" i="1"/>
  <c r="P337" i="1"/>
  <c r="P338" i="1"/>
  <c r="P309" i="1"/>
  <c r="P436" i="1"/>
  <c r="P341" i="1"/>
  <c r="P441" i="1"/>
  <c r="P343" i="1"/>
  <c r="P344" i="1"/>
  <c r="P345" i="1"/>
  <c r="P346" i="1"/>
  <c r="P347" i="1"/>
  <c r="P348" i="1"/>
  <c r="P349" i="1"/>
  <c r="P209" i="1"/>
  <c r="P351" i="1"/>
  <c r="P352" i="1"/>
  <c r="P353" i="1"/>
  <c r="P105" i="1"/>
  <c r="P355" i="1"/>
  <c r="P356" i="1"/>
  <c r="P357" i="1"/>
  <c r="P358" i="1"/>
  <c r="P444" i="1"/>
  <c r="P360" i="1"/>
  <c r="P447" i="1"/>
  <c r="P362" i="1"/>
  <c r="P363" i="1"/>
  <c r="P364" i="1"/>
  <c r="P365" i="1"/>
  <c r="P366" i="1"/>
  <c r="P119" i="1"/>
  <c r="P368" i="1"/>
  <c r="P369" i="1"/>
  <c r="P370" i="1"/>
  <c r="P452" i="1"/>
  <c r="P454" i="1"/>
  <c r="P373" i="1"/>
  <c r="P455" i="1"/>
  <c r="P456" i="1"/>
  <c r="P311" i="1"/>
  <c r="P377" i="1"/>
  <c r="P459" i="1"/>
  <c r="P379" i="1"/>
  <c r="P380" i="1"/>
  <c r="P381" i="1"/>
  <c r="P382" i="1"/>
  <c r="P383" i="1"/>
  <c r="P461" i="1"/>
  <c r="P463" i="1"/>
  <c r="P124" i="1"/>
  <c r="P464" i="1"/>
  <c r="P388" i="1"/>
  <c r="P389" i="1"/>
  <c r="P466" i="1"/>
  <c r="P391" i="1"/>
  <c r="P392" i="1"/>
  <c r="P393" i="1"/>
  <c r="P211" i="1"/>
  <c r="P470" i="1"/>
  <c r="P396" i="1"/>
  <c r="P397" i="1"/>
  <c r="P314" i="1"/>
  <c r="P399" i="1"/>
  <c r="P400" i="1"/>
  <c r="P320" i="1"/>
  <c r="P220" i="1"/>
  <c r="P125" i="1"/>
  <c r="P404" i="1"/>
  <c r="P126" i="1"/>
  <c r="P471" i="1"/>
  <c r="P472" i="1"/>
  <c r="P473" i="1"/>
  <c r="P409" i="1"/>
  <c r="P474" i="1"/>
  <c r="P411" i="1"/>
  <c r="P412" i="1"/>
  <c r="P321" i="1"/>
  <c r="P414" i="1"/>
  <c r="P221" i="1"/>
  <c r="P416" i="1"/>
  <c r="P417" i="1"/>
  <c r="P127" i="1"/>
  <c r="P475" i="1"/>
  <c r="P476" i="1"/>
  <c r="P222" i="1"/>
  <c r="P325" i="1"/>
  <c r="P480" i="1"/>
  <c r="P424" i="1"/>
  <c r="P425" i="1"/>
  <c r="P326" i="1"/>
  <c r="P129" i="1"/>
  <c r="P132" i="1"/>
  <c r="P229" i="1"/>
  <c r="P232" i="1"/>
  <c r="P233" i="1"/>
  <c r="P432" i="1"/>
  <c r="P433" i="1"/>
  <c r="P133" i="1"/>
  <c r="P435" i="1"/>
  <c r="P134" i="1"/>
  <c r="P437" i="1"/>
  <c r="P438" i="1"/>
  <c r="P439" i="1"/>
  <c r="P440" i="1"/>
  <c r="P484" i="1"/>
  <c r="P442" i="1"/>
  <c r="P443" i="1"/>
  <c r="P329" i="1"/>
  <c r="P445" i="1"/>
  <c r="P446" i="1"/>
  <c r="P485" i="1"/>
  <c r="P448" i="1"/>
  <c r="P449" i="1"/>
  <c r="P450" i="1"/>
  <c r="P451" i="1"/>
  <c r="P234" i="1"/>
  <c r="P453" i="1"/>
  <c r="P330" i="1"/>
  <c r="P333" i="1"/>
  <c r="P490" i="1"/>
  <c r="P457" i="1"/>
  <c r="P458" i="1"/>
  <c r="P339" i="1"/>
  <c r="P460" i="1"/>
  <c r="P494" i="1"/>
  <c r="P462" i="1"/>
  <c r="P497" i="1"/>
  <c r="P135" i="1"/>
  <c r="P465" i="1"/>
  <c r="P499" i="1"/>
  <c r="P467" i="1"/>
  <c r="P468" i="1"/>
  <c r="P469" i="1"/>
  <c r="P235" i="1"/>
  <c r="P340" i="1"/>
  <c r="P236" i="1"/>
  <c r="P500" i="1"/>
  <c r="P137" i="1"/>
  <c r="P342" i="1"/>
  <c r="P501" i="1"/>
  <c r="P477" i="1"/>
  <c r="P478" i="1"/>
  <c r="P479" i="1"/>
  <c r="P503" i="1"/>
  <c r="P481" i="1"/>
  <c r="P482" i="1"/>
  <c r="P483" i="1"/>
  <c r="P237" i="1"/>
  <c r="P505" i="1"/>
  <c r="P486" i="1"/>
  <c r="P487" i="1"/>
  <c r="P488" i="1"/>
  <c r="P489" i="1"/>
  <c r="P145" i="1"/>
  <c r="P491" i="1"/>
  <c r="P492" i="1"/>
  <c r="P493" i="1"/>
  <c r="P511" i="1"/>
  <c r="P495" i="1"/>
  <c r="P496" i="1"/>
  <c r="P251" i="1"/>
  <c r="P498" i="1"/>
  <c r="P253" i="1"/>
  <c r="P513" i="1"/>
  <c r="P146" i="1"/>
  <c r="P502" i="1"/>
  <c r="P350" i="1"/>
  <c r="P504" i="1"/>
  <c r="P259" i="1"/>
  <c r="P506" i="1"/>
  <c r="P507" i="1"/>
  <c r="P508" i="1"/>
  <c r="P509" i="1"/>
  <c r="P510" i="1"/>
  <c r="P261" i="1"/>
  <c r="P512" i="1"/>
  <c r="P514" i="1"/>
  <c r="P262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2" i="1"/>
  <c r="O151" i="1"/>
  <c r="O4" i="1"/>
  <c r="O5" i="1"/>
  <c r="O354" i="1"/>
  <c r="O359" i="1"/>
  <c r="O8" i="1"/>
  <c r="O9" i="1"/>
  <c r="O10" i="1"/>
  <c r="O11" i="1"/>
  <c r="O154" i="1"/>
  <c r="O361" i="1"/>
  <c r="O14" i="1"/>
  <c r="O15" i="1"/>
  <c r="O16" i="1"/>
  <c r="O17" i="1"/>
  <c r="O3" i="1"/>
  <c r="O19" i="1"/>
  <c r="O155" i="1"/>
  <c r="O21" i="1"/>
  <c r="O22" i="1"/>
  <c r="O6" i="1"/>
  <c r="O7" i="1"/>
  <c r="O12" i="1"/>
  <c r="O26" i="1"/>
  <c r="O27" i="1"/>
  <c r="O28" i="1"/>
  <c r="O367" i="1"/>
  <c r="O30" i="1"/>
  <c r="O31" i="1"/>
  <c r="O32" i="1"/>
  <c r="O33" i="1"/>
  <c r="O371" i="1"/>
  <c r="O35" i="1"/>
  <c r="O156" i="1"/>
  <c r="O37" i="1"/>
  <c r="O38" i="1"/>
  <c r="O13" i="1"/>
  <c r="O40" i="1"/>
  <c r="O41" i="1"/>
  <c r="O42" i="1"/>
  <c r="O43" i="1"/>
  <c r="O44" i="1"/>
  <c r="O45" i="1"/>
  <c r="O46" i="1"/>
  <c r="O47" i="1"/>
  <c r="O48" i="1"/>
  <c r="O49" i="1"/>
  <c r="O266" i="1"/>
  <c r="O51" i="1"/>
  <c r="O52" i="1"/>
  <c r="O53" i="1"/>
  <c r="O18" i="1"/>
  <c r="O55" i="1"/>
  <c r="O56" i="1"/>
  <c r="O372" i="1"/>
  <c r="O58" i="1"/>
  <c r="O59" i="1"/>
  <c r="O60" i="1"/>
  <c r="O61" i="1"/>
  <c r="O62" i="1"/>
  <c r="O267" i="1"/>
  <c r="O271" i="1"/>
  <c r="O273" i="1"/>
  <c r="O66" i="1"/>
  <c r="O67" i="1"/>
  <c r="O20" i="1"/>
  <c r="O69" i="1"/>
  <c r="O70" i="1"/>
  <c r="O71" i="1"/>
  <c r="O158" i="1"/>
  <c r="O274" i="1"/>
  <c r="O23" i="1"/>
  <c r="O75" i="1"/>
  <c r="O374" i="1"/>
  <c r="O77" i="1"/>
  <c r="O78" i="1"/>
  <c r="O79" i="1"/>
  <c r="O80" i="1"/>
  <c r="O81" i="1"/>
  <c r="O82" i="1"/>
  <c r="O375" i="1"/>
  <c r="O275" i="1"/>
  <c r="O376" i="1"/>
  <c r="O378" i="1"/>
  <c r="O24" i="1"/>
  <c r="O88" i="1"/>
  <c r="O25" i="1"/>
  <c r="O90" i="1"/>
  <c r="O384" i="1"/>
  <c r="O92" i="1"/>
  <c r="O93" i="1"/>
  <c r="O94" i="1"/>
  <c r="O95" i="1"/>
  <c r="O96" i="1"/>
  <c r="O97" i="1"/>
  <c r="O276" i="1"/>
  <c r="O99" i="1"/>
  <c r="O385" i="1"/>
  <c r="O386" i="1"/>
  <c r="O102" i="1"/>
  <c r="O103" i="1"/>
  <c r="O387" i="1"/>
  <c r="O161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68" i="1"/>
  <c r="O120" i="1"/>
  <c r="O121" i="1"/>
  <c r="O122" i="1"/>
  <c r="O123" i="1"/>
  <c r="O390" i="1"/>
  <c r="O172" i="1"/>
  <c r="O29" i="1"/>
  <c r="O394" i="1"/>
  <c r="O128" i="1"/>
  <c r="O34" i="1"/>
  <c r="O130" i="1"/>
  <c r="O131" i="1"/>
  <c r="O36" i="1"/>
  <c r="O395" i="1"/>
  <c r="O39" i="1"/>
  <c r="O50" i="1"/>
  <c r="O136" i="1"/>
  <c r="O398" i="1"/>
  <c r="O138" i="1"/>
  <c r="O139" i="1"/>
  <c r="O140" i="1"/>
  <c r="O141" i="1"/>
  <c r="O142" i="1"/>
  <c r="O143" i="1"/>
  <c r="O144" i="1"/>
  <c r="O54" i="1"/>
  <c r="O57" i="1"/>
  <c r="O147" i="1"/>
  <c r="O148" i="1"/>
  <c r="O149" i="1"/>
  <c r="O150" i="1"/>
  <c r="O277" i="1"/>
  <c r="O152" i="1"/>
  <c r="O153" i="1"/>
  <c r="O278" i="1"/>
  <c r="O401" i="1"/>
  <c r="O63" i="1"/>
  <c r="O157" i="1"/>
  <c r="O173" i="1"/>
  <c r="O159" i="1"/>
  <c r="O160" i="1"/>
  <c r="O177" i="1"/>
  <c r="O162" i="1"/>
  <c r="O163" i="1"/>
  <c r="O164" i="1"/>
  <c r="O165" i="1"/>
  <c r="O166" i="1"/>
  <c r="O167" i="1"/>
  <c r="O402" i="1"/>
  <c r="O169" i="1"/>
  <c r="O170" i="1"/>
  <c r="O171" i="1"/>
  <c r="O178" i="1"/>
  <c r="O64" i="1"/>
  <c r="O174" i="1"/>
  <c r="O175" i="1"/>
  <c r="O176" i="1"/>
  <c r="O180" i="1"/>
  <c r="O65" i="1"/>
  <c r="O179" i="1"/>
  <c r="O182" i="1"/>
  <c r="O181" i="1"/>
  <c r="O403" i="1"/>
  <c r="O405" i="1"/>
  <c r="O184" i="1"/>
  <c r="O185" i="1"/>
  <c r="O406" i="1"/>
  <c r="O187" i="1"/>
  <c r="O188" i="1"/>
  <c r="O407" i="1"/>
  <c r="O190" i="1"/>
  <c r="O408" i="1"/>
  <c r="O192" i="1"/>
  <c r="O410" i="1"/>
  <c r="O183" i="1"/>
  <c r="O195" i="1"/>
  <c r="O196" i="1"/>
  <c r="O197" i="1"/>
  <c r="O68" i="1"/>
  <c r="O199" i="1"/>
  <c r="O200" i="1"/>
  <c r="O283" i="1"/>
  <c r="O413" i="1"/>
  <c r="O203" i="1"/>
  <c r="O72" i="1"/>
  <c r="O415" i="1"/>
  <c r="O284" i="1"/>
  <c r="O207" i="1"/>
  <c r="O73" i="1"/>
  <c r="O418" i="1"/>
  <c r="O210" i="1"/>
  <c r="O186" i="1"/>
  <c r="O212" i="1"/>
  <c r="O213" i="1"/>
  <c r="O214" i="1"/>
  <c r="O215" i="1"/>
  <c r="O216" i="1"/>
  <c r="O217" i="1"/>
  <c r="O218" i="1"/>
  <c r="O219" i="1"/>
  <c r="O74" i="1"/>
  <c r="O419" i="1"/>
  <c r="O76" i="1"/>
  <c r="O223" i="1"/>
  <c r="O224" i="1"/>
  <c r="O225" i="1"/>
  <c r="O226" i="1"/>
  <c r="O227" i="1"/>
  <c r="O228" i="1"/>
  <c r="O420" i="1"/>
  <c r="O230" i="1"/>
  <c r="O231" i="1"/>
  <c r="O189" i="1"/>
  <c r="O191" i="1"/>
  <c r="O83" i="1"/>
  <c r="O193" i="1"/>
  <c r="O421" i="1"/>
  <c r="O285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422" i="1"/>
  <c r="O252" i="1"/>
  <c r="O194" i="1"/>
  <c r="O254" i="1"/>
  <c r="O255" i="1"/>
  <c r="O256" i="1"/>
  <c r="O257" i="1"/>
  <c r="O258" i="1"/>
  <c r="O198" i="1"/>
  <c r="O260" i="1"/>
  <c r="O84" i="1"/>
  <c r="O85" i="1"/>
  <c r="O263" i="1"/>
  <c r="O264" i="1"/>
  <c r="O265" i="1"/>
  <c r="O423" i="1"/>
  <c r="O86" i="1"/>
  <c r="O268" i="1"/>
  <c r="O269" i="1"/>
  <c r="O270" i="1"/>
  <c r="O87" i="1"/>
  <c r="O272" i="1"/>
  <c r="O201" i="1"/>
  <c r="O426" i="1"/>
  <c r="O427" i="1"/>
  <c r="O428" i="1"/>
  <c r="O89" i="1"/>
  <c r="O299" i="1"/>
  <c r="O279" i="1"/>
  <c r="O280" i="1"/>
  <c r="O281" i="1"/>
  <c r="O282" i="1"/>
  <c r="O202" i="1"/>
  <c r="O302" i="1"/>
  <c r="O204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05" i="1"/>
  <c r="O300" i="1"/>
  <c r="O301" i="1"/>
  <c r="O91" i="1"/>
  <c r="O206" i="1"/>
  <c r="O304" i="1"/>
  <c r="O305" i="1"/>
  <c r="O306" i="1"/>
  <c r="O307" i="1"/>
  <c r="O98" i="1"/>
  <c r="O429" i="1"/>
  <c r="O310" i="1"/>
  <c r="O430" i="1"/>
  <c r="O312" i="1"/>
  <c r="O313" i="1"/>
  <c r="O303" i="1"/>
  <c r="O315" i="1"/>
  <c r="O316" i="1"/>
  <c r="O317" i="1"/>
  <c r="O318" i="1"/>
  <c r="O319" i="1"/>
  <c r="O308" i="1"/>
  <c r="O100" i="1"/>
  <c r="O322" i="1"/>
  <c r="O323" i="1"/>
  <c r="O324" i="1"/>
  <c r="O101" i="1"/>
  <c r="O431" i="1"/>
  <c r="O327" i="1"/>
  <c r="O328" i="1"/>
  <c r="O434" i="1"/>
  <c r="O104" i="1"/>
  <c r="O331" i="1"/>
  <c r="O332" i="1"/>
  <c r="O208" i="1"/>
  <c r="O334" i="1"/>
  <c r="O335" i="1"/>
  <c r="O336" i="1"/>
  <c r="O337" i="1"/>
  <c r="O338" i="1"/>
  <c r="O309" i="1"/>
  <c r="O436" i="1"/>
  <c r="O341" i="1"/>
  <c r="O441" i="1"/>
  <c r="O343" i="1"/>
  <c r="O344" i="1"/>
  <c r="O345" i="1"/>
  <c r="O346" i="1"/>
  <c r="O347" i="1"/>
  <c r="O348" i="1"/>
  <c r="O349" i="1"/>
  <c r="O209" i="1"/>
  <c r="O351" i="1"/>
  <c r="O352" i="1"/>
  <c r="O353" i="1"/>
  <c r="O105" i="1"/>
  <c r="O355" i="1"/>
  <c r="O356" i="1"/>
  <c r="O357" i="1"/>
  <c r="O358" i="1"/>
  <c r="O444" i="1"/>
  <c r="O360" i="1"/>
  <c r="O447" i="1"/>
  <c r="O362" i="1"/>
  <c r="O363" i="1"/>
  <c r="O364" i="1"/>
  <c r="O365" i="1"/>
  <c r="O366" i="1"/>
  <c r="O119" i="1"/>
  <c r="O368" i="1"/>
  <c r="O369" i="1"/>
  <c r="O370" i="1"/>
  <c r="O452" i="1"/>
  <c r="O454" i="1"/>
  <c r="O373" i="1"/>
  <c r="O455" i="1"/>
  <c r="O456" i="1"/>
  <c r="O311" i="1"/>
  <c r="O377" i="1"/>
  <c r="O459" i="1"/>
  <c r="O379" i="1"/>
  <c r="O380" i="1"/>
  <c r="O381" i="1"/>
  <c r="O382" i="1"/>
  <c r="O383" i="1"/>
  <c r="O461" i="1"/>
  <c r="O463" i="1"/>
  <c r="O124" i="1"/>
  <c r="O464" i="1"/>
  <c r="O388" i="1"/>
  <c r="O389" i="1"/>
  <c r="O466" i="1"/>
  <c r="O391" i="1"/>
  <c r="O392" i="1"/>
  <c r="O393" i="1"/>
  <c r="O211" i="1"/>
  <c r="O470" i="1"/>
  <c r="O396" i="1"/>
  <c r="O397" i="1"/>
  <c r="O314" i="1"/>
  <c r="O399" i="1"/>
  <c r="O400" i="1"/>
  <c r="O320" i="1"/>
  <c r="O220" i="1"/>
  <c r="O125" i="1"/>
  <c r="O404" i="1"/>
  <c r="O126" i="1"/>
  <c r="O471" i="1"/>
  <c r="O472" i="1"/>
  <c r="O473" i="1"/>
  <c r="O409" i="1"/>
  <c r="O474" i="1"/>
  <c r="O411" i="1"/>
  <c r="O412" i="1"/>
  <c r="O321" i="1"/>
  <c r="O414" i="1"/>
  <c r="O221" i="1"/>
  <c r="O416" i="1"/>
  <c r="O417" i="1"/>
  <c r="O127" i="1"/>
  <c r="O475" i="1"/>
  <c r="O476" i="1"/>
  <c r="O222" i="1"/>
  <c r="O325" i="1"/>
  <c r="O480" i="1"/>
  <c r="O424" i="1"/>
  <c r="O425" i="1"/>
  <c r="O326" i="1"/>
  <c r="O129" i="1"/>
  <c r="O132" i="1"/>
  <c r="O229" i="1"/>
  <c r="O232" i="1"/>
  <c r="O233" i="1"/>
  <c r="O432" i="1"/>
  <c r="O433" i="1"/>
  <c r="O133" i="1"/>
  <c r="O435" i="1"/>
  <c r="O134" i="1"/>
  <c r="O437" i="1"/>
  <c r="O438" i="1"/>
  <c r="O439" i="1"/>
  <c r="O440" i="1"/>
  <c r="O484" i="1"/>
  <c r="O442" i="1"/>
  <c r="O443" i="1"/>
  <c r="O329" i="1"/>
  <c r="O445" i="1"/>
  <c r="O446" i="1"/>
  <c r="O485" i="1"/>
  <c r="O448" i="1"/>
  <c r="O449" i="1"/>
  <c r="O450" i="1"/>
  <c r="O451" i="1"/>
  <c r="O234" i="1"/>
  <c r="O453" i="1"/>
  <c r="O330" i="1"/>
  <c r="O333" i="1"/>
  <c r="O490" i="1"/>
  <c r="O457" i="1"/>
  <c r="O458" i="1"/>
  <c r="O339" i="1"/>
  <c r="O460" i="1"/>
  <c r="O494" i="1"/>
  <c r="O462" i="1"/>
  <c r="O497" i="1"/>
  <c r="O135" i="1"/>
  <c r="O465" i="1"/>
  <c r="O499" i="1"/>
  <c r="O467" i="1"/>
  <c r="O468" i="1"/>
  <c r="O469" i="1"/>
  <c r="O235" i="1"/>
  <c r="O340" i="1"/>
  <c r="O236" i="1"/>
  <c r="O500" i="1"/>
  <c r="O137" i="1"/>
  <c r="O342" i="1"/>
  <c r="O501" i="1"/>
  <c r="O477" i="1"/>
  <c r="O478" i="1"/>
  <c r="O479" i="1"/>
  <c r="O503" i="1"/>
  <c r="O481" i="1"/>
  <c r="O482" i="1"/>
  <c r="O483" i="1"/>
  <c r="O237" i="1"/>
  <c r="O505" i="1"/>
  <c r="O486" i="1"/>
  <c r="O487" i="1"/>
  <c r="O488" i="1"/>
  <c r="O489" i="1"/>
  <c r="O145" i="1"/>
  <c r="O491" i="1"/>
  <c r="O492" i="1"/>
  <c r="O493" i="1"/>
  <c r="O511" i="1"/>
  <c r="O495" i="1"/>
  <c r="O496" i="1"/>
  <c r="O251" i="1"/>
  <c r="O498" i="1"/>
  <c r="O253" i="1"/>
  <c r="O513" i="1"/>
  <c r="O146" i="1"/>
  <c r="O502" i="1"/>
  <c r="O350" i="1"/>
  <c r="O504" i="1"/>
  <c r="O259" i="1"/>
  <c r="O506" i="1"/>
  <c r="O507" i="1"/>
  <c r="O508" i="1"/>
  <c r="O509" i="1"/>
  <c r="O510" i="1"/>
  <c r="O261" i="1"/>
  <c r="O512" i="1"/>
  <c r="O514" i="1"/>
  <c r="O262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2" i="1"/>
</calcChain>
</file>

<file path=xl/sharedStrings.xml><?xml version="1.0" encoding="utf-8"?>
<sst xmlns="http://schemas.openxmlformats.org/spreadsheetml/2006/main" count="4165" uniqueCount="567">
  <si>
    <t>Order_ID</t>
  </si>
  <si>
    <t>Customer_Name</t>
  </si>
  <si>
    <t>Customer_City</t>
  </si>
  <si>
    <t>Customer_State</t>
  </si>
  <si>
    <t>Product_Category</t>
  </si>
  <si>
    <t>Sub_Category</t>
  </si>
  <si>
    <t>Quantity</t>
  </si>
  <si>
    <t>Discount_Percent</t>
  </si>
  <si>
    <t>Sales_Amount</t>
  </si>
  <si>
    <t>Payment_Mode</t>
  </si>
  <si>
    <t>Order_Status</t>
  </si>
  <si>
    <t>ORD1000</t>
  </si>
  <si>
    <t>Ms. Ananya Iyer</t>
  </si>
  <si>
    <t>Chennai</t>
  </si>
  <si>
    <t>Clothing</t>
  </si>
  <si>
    <t>Shirt</t>
  </si>
  <si>
    <t>Returned</t>
  </si>
  <si>
    <t>ORD1001</t>
  </si>
  <si>
    <t>Karnataka</t>
  </si>
  <si>
    <t>Electronics</t>
  </si>
  <si>
    <t>Mobile</t>
  </si>
  <si>
    <t>ORD1002</t>
  </si>
  <si>
    <t>Priya</t>
  </si>
  <si>
    <t>Mumbai</t>
  </si>
  <si>
    <t>Tamil Nadu</t>
  </si>
  <si>
    <t>Furniture</t>
  </si>
  <si>
    <t>ORD1003</t>
  </si>
  <si>
    <t>Dr. John</t>
  </si>
  <si>
    <t>Chair</t>
  </si>
  <si>
    <t>Credit Card</t>
  </si>
  <si>
    <t>In Transit</t>
  </si>
  <si>
    <t>ORD1004</t>
  </si>
  <si>
    <t>Mr. Rahul Sharma</t>
  </si>
  <si>
    <t>Delivered</t>
  </si>
  <si>
    <t>ORD1005</t>
  </si>
  <si>
    <t>ORD1006</t>
  </si>
  <si>
    <t>Maharashtra</t>
  </si>
  <si>
    <t>Cancelled</t>
  </si>
  <si>
    <t>ORD1007</t>
  </si>
  <si>
    <t>UPI</t>
  </si>
  <si>
    <t>ORD1008</t>
  </si>
  <si>
    <t>ORD1009</t>
  </si>
  <si>
    <t>ORD1010</t>
  </si>
  <si>
    <t>ORD1011</t>
  </si>
  <si>
    <t>Delhi</t>
  </si>
  <si>
    <t>ORD1012</t>
  </si>
  <si>
    <t>ORD1013</t>
  </si>
  <si>
    <t>Laptop</t>
  </si>
  <si>
    <t>ORD1014</t>
  </si>
  <si>
    <t>COD</t>
  </si>
  <si>
    <t>ORD1015</t>
  </si>
  <si>
    <t>ORD1016</t>
  </si>
  <si>
    <t>Bangalore</t>
  </si>
  <si>
    <t>Debit Card</t>
  </si>
  <si>
    <t>ORD1017</t>
  </si>
  <si>
    <t>ORD1018</t>
  </si>
  <si>
    <t>ORD1019</t>
  </si>
  <si>
    <t>ORD1020</t>
  </si>
  <si>
    <t>ORD1021</t>
  </si>
  <si>
    <t>ORD1022</t>
  </si>
  <si>
    <t>Table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</si>
  <si>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</si>
  <si>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</si>
  <si>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</si>
  <si>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</si>
  <si>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</si>
  <si>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</si>
  <si>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</si>
  <si>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</si>
  <si>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</si>
  <si>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</si>
  <si>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</si>
  <si>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</si>
  <si>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</si>
  <si>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</si>
  <si>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</si>
  <si>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</si>
  <si>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</si>
  <si>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</si>
  <si>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</si>
  <si>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</si>
  <si>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</si>
  <si>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</si>
  <si>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</si>
  <si>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</si>
  <si>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</si>
  <si>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</si>
  <si>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</si>
  <si>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</si>
  <si>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</si>
  <si>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</si>
  <si>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</si>
  <si>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</si>
  <si>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</si>
  <si>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</si>
  <si>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</si>
  <si>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</si>
  <si>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</si>
  <si>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</si>
  <si>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</si>
  <si>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</si>
  <si>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</si>
  <si>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</si>
  <si>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</si>
  <si>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ORD1069</t>
  </si>
  <si>
    <t>ORD1070</t>
  </si>
  <si>
    <t>ORD1071</t>
  </si>
  <si>
    <t>ORD1072</t>
  </si>
  <si>
    <t>ORD1073</t>
  </si>
  <si>
    <t>ORD1075</t>
  </si>
  <si>
    <t>ORD1076</t>
  </si>
  <si>
    <t>ORD1077</t>
  </si>
  <si>
    <t>ORD1079</t>
  </si>
  <si>
    <t>ORD1080</t>
  </si>
  <si>
    <t>ORD1081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</si>
  <si>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</si>
  <si>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</si>
  <si>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</si>
  <si>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</si>
  <si>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</si>
  <si>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</si>
  <si>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</si>
  <si>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</si>
  <si>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</si>
  <si>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</si>
  <si>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</si>
  <si>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</si>
  <si>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</si>
  <si>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</si>
  <si>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</si>
  <si>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</si>
  <si>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</si>
  <si>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</si>
  <si>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</si>
  <si>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</si>
  <si>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</si>
  <si>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</si>
  <si>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</si>
  <si>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</si>
  <si>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</si>
  <si>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</si>
  <si>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</si>
  <si>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</si>
  <si>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</si>
  <si>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</si>
  <si>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</si>
  <si>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</si>
  <si>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</si>
  <si>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</si>
  <si>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</si>
  <si>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</si>
  <si>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</si>
  <si>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</si>
  <si>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</si>
  <si>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</si>
  <si>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</si>
  <si>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</si>
  <si>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</si>
  <si>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</si>
  <si>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</si>
  <si>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</si>
  <si>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</si>
  <si>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</si>
  <si>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</si>
  <si>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</si>
  <si>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</si>
  <si>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</si>
  <si>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</si>
  <si>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</si>
  <si>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</si>
  <si>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</si>
  <si>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</si>
  <si>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</si>
  <si>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</si>
  <si>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</si>
  <si>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ORD1146</t>
  </si>
  <si>
    <t>ORD1147</t>
  </si>
  <si>
    <t>ORD1148</t>
  </si>
  <si>
    <t>ORD1149</t>
  </si>
  <si>
    <t>ORD1150</t>
  </si>
  <si>
    <t>ORD1151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</si>
  <si>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</si>
  <si>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</si>
  <si>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</si>
  <si>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</si>
  <si>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</si>
  <si>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</si>
  <si>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</si>
  <si>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</si>
  <si>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</si>
  <si>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</si>
  <si>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</si>
  <si>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</si>
  <si>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</si>
  <si>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</si>
  <si>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</si>
  <si>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</si>
  <si>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</si>
  <si>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</si>
  <si>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</si>
  <si>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</si>
  <si>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</si>
  <si>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</si>
  <si>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</si>
  <si>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</si>
  <si>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</si>
  <si>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</si>
  <si>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</si>
  <si>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</si>
  <si>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</si>
  <si>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</si>
  <si>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</si>
  <si>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</si>
  <si>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</si>
  <si>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</si>
  <si>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</si>
  <si>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</si>
  <si>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</si>
  <si>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</si>
  <si>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</si>
  <si>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</si>
  <si>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</si>
  <si>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</si>
  <si>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</si>
  <si>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</si>
  <si>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</si>
  <si>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</si>
  <si>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</si>
  <si>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</si>
  <si>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</si>
  <si>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</si>
  <si>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</si>
  <si>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</si>
  <si>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</si>
  <si>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</si>
  <si>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</si>
  <si>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</si>
  <si>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</si>
  <si>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</si>
  <si>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</si>
  <si>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</si>
  <si>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</si>
  <si>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</si>
  <si>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</si>
  <si>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</si>
  <si>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</si>
  <si>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</si>
  <si>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</si>
  <si>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</si>
  <si>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</si>
  <si>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</si>
  <si>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</si>
  <si>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</si>
  <si>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</si>
  <si>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</si>
  <si>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</si>
  <si>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</si>
  <si>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</si>
  <si>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</si>
  <si>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</si>
  <si>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</si>
  <si>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</si>
  <si>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</si>
  <si>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ORD1238</t>
  </si>
  <si>
    <t>ORD1240</t>
  </si>
  <si>
    <t>ORD1241</t>
  </si>
  <si>
    <t>ORD1242</t>
  </si>
  <si>
    <t>ORD1243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</si>
  <si>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</si>
  <si>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</si>
  <si>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</si>
  <si>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</si>
  <si>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</si>
  <si>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</si>
  <si>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</si>
  <si>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</si>
  <si>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</si>
  <si>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</si>
  <si>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</si>
  <si>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</si>
  <si>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</si>
  <si>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</si>
  <si>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</si>
  <si>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</si>
  <si>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</si>
  <si>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</si>
  <si>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</si>
  <si>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</si>
  <si>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</si>
  <si>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</si>
  <si>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</si>
  <si>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</si>
  <si>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</si>
  <si>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</si>
  <si>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</si>
  <si>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</si>
  <si>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</si>
  <si>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</si>
  <si>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</si>
  <si>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</si>
  <si>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</si>
  <si>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</si>
  <si>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</si>
  <si>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</si>
  <si>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</si>
  <si>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</si>
  <si>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</si>
  <si>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</si>
  <si>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</si>
  <si>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</si>
  <si>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ORD1288</t>
  </si>
  <si>
    <t>ORD1289</t>
  </si>
  <si>
    <t>ORD1290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</si>
  <si>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</si>
  <si>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</si>
  <si>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</si>
  <si>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</si>
  <si>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</si>
  <si>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</si>
  <si>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</si>
  <si>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</si>
  <si>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</si>
  <si>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</si>
  <si>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</si>
  <si>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</si>
  <si>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</si>
  <si>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</si>
  <si>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</si>
  <si>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</si>
  <si>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</si>
  <si>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ORD1310</t>
  </si>
  <si>
    <t>ORD1311</t>
  </si>
  <si>
    <t>ORD1312</t>
  </si>
  <si>
    <t>ORD1313</t>
  </si>
  <si>
    <t>ORD1314</t>
  </si>
  <si>
    <t>ORD1315</t>
  </si>
  <si>
    <t>ORD1316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</si>
  <si>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</si>
  <si>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</si>
  <si>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</si>
  <si>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</si>
  <si>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</si>
  <si>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</si>
  <si>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</si>
  <si>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</si>
  <si>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</si>
  <si>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</si>
  <si>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</si>
  <si>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</si>
  <si>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</si>
  <si>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</si>
  <si>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</si>
  <si>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</si>
  <si>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</si>
  <si>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</si>
  <si>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</si>
  <si>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</si>
  <si>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</si>
  <si>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</si>
  <si>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</si>
  <si>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</si>
  <si>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</si>
  <si>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</si>
  <si>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</si>
  <si>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ORD1348</t>
  </si>
  <si>
    <t>ORD1349</t>
  </si>
  <si>
    <t>ORD1350</t>
  </si>
  <si>
    <t>ORD1351</t>
  </si>
  <si>
    <t>ORD1352</t>
  </si>
  <si>
    <t>ORD1353</t>
  </si>
  <si>
    <t>ORD1355</t>
  </si>
  <si>
    <t>ORD1357</t>
  </si>
  <si>
    <t>ORD1358</t>
  </si>
  <si>
    <t>ORD1359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</si>
  <si>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</si>
  <si>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</si>
  <si>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</si>
  <si>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</si>
  <si>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</si>
  <si>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</si>
  <si>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</si>
  <si>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</si>
  <si>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</si>
  <si>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</si>
  <si>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</si>
  <si>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</si>
  <si>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</si>
  <si>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</si>
  <si>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</si>
  <si>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</si>
  <si>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</si>
  <si>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</si>
  <si>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</si>
  <si>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</si>
  <si>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</si>
  <si>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</si>
  <si>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</si>
  <si>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</si>
  <si>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</si>
  <si>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</si>
  <si>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</si>
  <si>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</si>
  <si>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</si>
  <si>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</si>
  <si>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</si>
  <si>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</si>
  <si>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</si>
  <si>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</si>
  <si>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</si>
  <si>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</si>
  <si>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</si>
  <si>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</si>
  <si>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</si>
  <si>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</si>
  <si>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</si>
  <si>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</si>
  <si>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</si>
  <si>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</si>
  <si>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</si>
  <si>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</si>
  <si>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</si>
  <si>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</si>
  <si>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</si>
  <si>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</si>
  <si>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</si>
  <si>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</si>
  <si>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</si>
  <si>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</si>
  <si>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</si>
  <si>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</si>
  <si>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</si>
  <si>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</si>
  <si>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</si>
  <si>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</si>
  <si>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</si>
  <si>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</si>
  <si>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</si>
  <si>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</si>
  <si>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</si>
  <si>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</si>
  <si>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</si>
  <si>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</si>
  <si>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</si>
  <si>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</si>
  <si>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</si>
  <si>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</si>
  <si>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</si>
  <si>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</si>
  <si>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</si>
  <si>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</si>
  <si>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</si>
  <si>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</si>
  <si>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</si>
  <si>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</si>
  <si>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</si>
  <si>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</si>
  <si>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</si>
  <si>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</si>
  <si>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</si>
  <si>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</si>
  <si>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</si>
  <si>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</si>
  <si>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</si>
  <si>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</si>
  <si>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</si>
  <si>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</si>
  <si>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</si>
  <si>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</si>
  <si>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</si>
  <si>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</si>
  <si>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</si>
  <si>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</si>
  <si>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</si>
  <si>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</si>
  <si>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</si>
  <si>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</si>
  <si>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</si>
  <si>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</si>
  <si>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</si>
  <si>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</si>
  <si>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</si>
  <si>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</si>
  <si>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</si>
  <si>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</si>
  <si>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</si>
  <si>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</si>
  <si>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</si>
  <si>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</si>
  <si>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</si>
  <si>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</si>
  <si>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</si>
  <si>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</si>
  <si>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</si>
  <si>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</si>
  <si>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</si>
  <si>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</si>
  <si>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</si>
  <si>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</si>
  <si>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</si>
  <si>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</si>
  <si>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</si>
  <si>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</si>
  <si>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ORD1494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</si>
  <si>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</si>
  <si>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</si>
  <si>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</si>
  <si>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</si>
  <si>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</si>
  <si>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</si>
  <si>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</si>
  <si>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</si>
  <si>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</si>
  <si>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</si>
  <si>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</si>
  <si>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</si>
  <si>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</si>
  <si>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</si>
  <si>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</si>
  <si>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</si>
  <si>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</si>
  <si>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</si>
  <si>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</si>
  <si>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</si>
  <si>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</si>
  <si>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</si>
  <si>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</si>
  <si>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</si>
  <si>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</si>
  <si>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</si>
  <si>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</si>
  <si>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</si>
  <si>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ORD1525</t>
  </si>
  <si>
    <t>ORD1526</t>
  </si>
  <si>
    <t>ORD1527</t>
  </si>
  <si>
    <t>ORD1528</t>
  </si>
  <si>
    <t>ORD1529</t>
  </si>
  <si>
    <t>ORD1530</t>
  </si>
  <si>
    <t>ORD1531</t>
  </si>
  <si>
    <t>ORD1533</t>
  </si>
  <si>
    <t>ORD1534</t>
  </si>
  <si>
    <t>ORD1535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</si>
  <si>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</si>
  <si>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</si>
  <si>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</si>
  <si>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</si>
  <si>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</si>
  <si>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</si>
  <si>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</si>
  <si>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</si>
  <si>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ORD1547</t>
  </si>
  <si>
    <t>ORD1548</t>
  </si>
  <si>
    <t>ORD1549</t>
  </si>
  <si>
    <t>Unknown</t>
  </si>
  <si>
    <t>Unit price</t>
  </si>
  <si>
    <t xml:space="preserve">Order_Date </t>
  </si>
  <si>
    <t>Net sales</t>
  </si>
  <si>
    <t>Gross sale</t>
  </si>
  <si>
    <t>Order month-Year</t>
  </si>
  <si>
    <t>Order status</t>
  </si>
  <si>
    <t>(blank)</t>
  </si>
  <si>
    <t>Grand Total</t>
  </si>
  <si>
    <t>Sum of Net sales</t>
  </si>
  <si>
    <t>Sum of Gross sale</t>
  </si>
  <si>
    <t>Count of Order_ID</t>
  </si>
  <si>
    <t>Category</t>
  </si>
  <si>
    <t>City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</si>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</sst>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AKHIL" refreshedDate="46043.984850462963" createdVersion="8" refreshedVersion="8" minRefreshableVersion="3" recordCount="550" xr:uid="{99748897-389D-4AE0-ADA6-0944B6E682C7}">
  <cacheSource type="worksheet">
    <worksheetSource ref="A1:Q551" sheet="Raw_Ecommerce_Data"/>
  </cacheSource>
  <cacheFields count="19">
    <cacheField name="Order_ID" numFmtId="0">
      <sharedItems containsBlank="1"/>
    </cacheField>
    <cacheField name="Order_Date " numFmtId="165">
      <sharedItems containsNonDate="0" containsDate="1" containsString="0" containsBlank="1" minDate="2024-01-15T00:00:00" maxDate="2024-03-26T00:00:00" count="4">
        <d v="2024-03-25T00:00:00"/>
        <m/>
        <d v="2024-01-15T00:00:00"/>
        <d v="2024-02-15T00:00:00"/>
      </sharedItems>
      <fieldGroup par="18"/>
    </cacheField>
    <cacheField name="Customer_Name" numFmtId="0">
      <sharedItems containsBlank="1"/>
    </cacheField>
    <cacheField name="Customer_City" numFmtId="0">
      <sharedItems containsBlank="1" count="6">
        <s v="Chennai"/>
        <s v="Bangalore"/>
        <s v="Mumbai"/>
        <s v="Delhi"/>
        <s v="Unknown"/>
        <m/>
      </sharedItems>
    </cacheField>
    <cacheField name="Customer_State" numFmtId="0">
      <sharedItems containsBlank="1"/>
    </cacheField>
    <cacheField name="Product_Category" numFmtId="0">
      <sharedItems containsBlank="1" count="5">
        <s v="Clothing"/>
        <s v="Electronics"/>
        <s v="Furniture"/>
        <s v="Unknown"/>
        <m/>
      </sharedItems>
    </cacheField>
    <cacheField name="Sub_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 price" numFmtId="0">
      <sharedItems containsString="0" containsBlank="1" containsNumber="1" minValue="499.99" maxValue="25999"/>
    </cacheField>
    <cacheField name="Discount_Percent" numFmtId="0">
      <sharedItems containsString="0" containsBlank="1" containsNumber="1" containsInteger="1" minValue="0" maxValue="50"/>
    </cacheField>
    <cacheField name="Sales_Amount" numFmtId="164">
      <sharedItems containsSemiMixedTypes="0" containsString="0" containsNumber="1" minValue="-500" maxValue="30000"/>
    </cacheField>
    <cacheField name="Payment_Mode" numFmtId="0">
      <sharedItems containsBlank="1" count="6">
        <s v="Unknown"/>
        <s v="Debit Card"/>
        <s v="UPI"/>
        <s v="Credit Card"/>
        <s v="COD"/>
        <m/>
      </sharedItems>
    </cacheField>
    <cacheField name="Order_Status" numFmtId="0">
      <sharedItems containsBlank="1"/>
    </cacheField>
    <cacheField name="Net sales" numFmtId="0">
      <sharedItems containsString="0" containsBlank="1" containsNumber="1" minValue="249.995" maxValue="103996"/>
    </cacheField>
    <cacheField name="Gross sale" numFmtId="0">
      <sharedItems containsSemiMixedTypes="0" containsString="0" containsNumber="1" minValue="0" maxValue="103996"/>
    </cacheField>
    <cacheField name="Order month-Year" numFmtId="0">
      <sharedItems/>
    </cacheField>
    <cacheField name="Order status" numFmtId="0">
      <sharedItems/>
    </cacheField>
    <cacheField name="Days (Order_Date )" numFmtId="0" databaseField="0">
      <fieldGroup base="1">
        <rangePr groupBy="days" startDate="2024-01-15T00:00:00" endDate="2024-03-26T00:00:00"/>
        <groupItems count="368">
          <s v="&lt;1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3-2024"/>
        </groupItems>
      </fieldGroup>
    </cacheField>
    <cacheField name="Months (Order_Date )" numFmtId="0" databaseField="0">
      <fieldGroup base="1">
        <rangePr groupBy="months" startDate="2024-01-15T00:00:00" endDate="2024-03-26T00:00:00"/>
        <groupItems count="14">
          <s v="&lt;1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ORD1000"/>
    <x v="0"/>
    <s v="Ms. Ananya Iyer"/>
    <x v="0"/>
    <s v="Unknown"/>
    <x v="0"/>
    <s v="Shirt"/>
    <n v="1"/>
    <n v="7830.7177904328155"/>
    <n v="15"/>
    <n v="-500"/>
    <x v="0"/>
    <s v="Returned"/>
    <n v="6656.1101218678932"/>
    <n v="7830.7177904328155"/>
    <s v="03-2024"/>
    <s v="Normal"/>
  </r>
  <r>
    <s v="ORD1016"/>
    <x v="0"/>
    <s v="Unknown"/>
    <x v="1"/>
    <s v="Maharashtra"/>
    <x v="1"/>
    <s v="Mobile"/>
    <n v="4"/>
    <n v="7830.7177904328155"/>
    <n v="0"/>
    <n v="499.99"/>
    <x v="1"/>
    <s v="Delivered"/>
    <n v="103996"/>
    <n v="31322.871161731262"/>
    <s v="03-2024"/>
    <s v="High"/>
  </r>
  <r>
    <s v="ORD1002"/>
    <x v="1"/>
    <s v="Priya"/>
    <x v="2"/>
    <s v="Tamil Nadu"/>
    <x v="2"/>
    <s v="Shirt"/>
    <n v="1"/>
    <n v="799.5"/>
    <n v="0"/>
    <n v="0"/>
    <x v="2"/>
    <s v="Unknown"/>
    <n v="799.5"/>
    <n v="799.5"/>
    <s v="01-1900"/>
    <s v="Normal"/>
  </r>
  <r>
    <s v="ORD1003"/>
    <x v="2"/>
    <s v="Dr. John"/>
    <x v="3"/>
    <s v="Unknown"/>
    <x v="3"/>
    <s v="Chair"/>
    <n v="1"/>
    <n v="499.99"/>
    <n v="0"/>
    <n v="30000"/>
    <x v="3"/>
    <s v="In Transit"/>
    <n v="499.99"/>
    <n v="499.99"/>
    <s v="01-2024"/>
    <s v="Normal"/>
  </r>
  <r>
    <s v="ORD1021"/>
    <x v="0"/>
    <s v="Unknown"/>
    <x v="0"/>
    <s v="Karnataka"/>
    <x v="3"/>
    <s v="Mobile"/>
    <n v="4"/>
    <n v="7830.7177904328155"/>
    <n v="0"/>
    <n v="30000"/>
    <x v="4"/>
    <s v="Unknown"/>
    <n v="93596.400000000009"/>
    <n v="31322.871161731262"/>
    <s v="03-2024"/>
    <s v="High"/>
  </r>
  <r>
    <s v="ORD1022"/>
    <x v="0"/>
    <s v="Unknown"/>
    <x v="1"/>
    <s v="Unknown"/>
    <x v="3"/>
    <s v="Table"/>
    <n v="2"/>
    <n v="7830.7177904328155"/>
    <n v="5"/>
    <n v="0"/>
    <x v="2"/>
    <s v="In Transit"/>
    <n v="88396.599999999991"/>
    <n v="15661.435580865631"/>
    <s v="03-2024"/>
    <s v="High"/>
  </r>
  <r>
    <s v="ORD1006"/>
    <x v="0"/>
    <s v="Unknown"/>
    <x v="0"/>
    <s v="Maharashtra"/>
    <x v="1"/>
    <s v="Shirt"/>
    <n v="1"/>
    <n v="12999"/>
    <n v="10"/>
    <n v="499.99"/>
    <x v="2"/>
    <s v="Cancelled"/>
    <n v="11699.1"/>
    <n v="12999"/>
    <s v="03-2024"/>
    <s v="High"/>
  </r>
  <r>
    <s v="ORD1007"/>
    <x v="0"/>
    <s v="Priya"/>
    <x v="4"/>
    <s v="Unknown"/>
    <x v="1"/>
    <s v="Shirt"/>
    <n v="1"/>
    <n v="25999"/>
    <n v="5"/>
    <n v="0"/>
    <x v="2"/>
    <s v="Cancelled"/>
    <n v="24699.05"/>
    <n v="25999"/>
    <s v="03-2024"/>
    <s v="High"/>
  </r>
  <r>
    <s v="ORD1008"/>
    <x v="0"/>
    <s v="Unknown"/>
    <x v="2"/>
    <s v="Tamil Nadu"/>
    <x v="0"/>
    <s v="Mobile"/>
    <n v="4"/>
    <n v="799.5"/>
    <n v="10"/>
    <n v="-500"/>
    <x v="0"/>
    <s v="Cancelled"/>
    <n v="2878.2000000000003"/>
    <n v="3198"/>
    <s v="03-2024"/>
    <s v="Normal"/>
  </r>
  <r>
    <s v="ORD1009"/>
    <x v="0"/>
    <s v="Ms. Ananya Iyer"/>
    <x v="2"/>
    <s v="Tamil Nadu"/>
    <x v="1"/>
    <s v="Unknown"/>
    <n v="2"/>
    <n v="499.99"/>
    <n v="15"/>
    <n v="0"/>
    <x v="2"/>
    <s v="In Transit"/>
    <n v="849.98299999999995"/>
    <n v="999.98"/>
    <s v="03-2024"/>
    <s v="Normal"/>
  </r>
  <r>
    <s v="ORD1023"/>
    <x v="0"/>
    <s v="Ms. Ananya Iyer"/>
    <x v="4"/>
    <s v="Unknown"/>
    <x v="0"/>
    <s v="Unknown"/>
    <n v="4"/>
    <n v="7830.7177904328155"/>
    <n v="10"/>
    <n v="0"/>
    <x v="0"/>
    <s v="Returned"/>
    <n v="88396.599999999991"/>
    <n v="31322.871161731262"/>
    <s v="03-2024"/>
    <s v="High"/>
  </r>
  <r>
    <s v="ORD1037"/>
    <x v="0"/>
    <s v="Unknown"/>
    <x v="2"/>
    <s v="Tamil Nadu"/>
    <x v="3"/>
    <s v="Unknown"/>
    <n v="1"/>
    <n v="25999"/>
    <n v="15"/>
    <n v="0"/>
    <x v="1"/>
    <s v="Unknown"/>
    <n v="77997"/>
    <n v="25999"/>
    <s v="03-2024"/>
    <s v="High"/>
  </r>
  <r>
    <s v="ORD1012"/>
    <x v="2"/>
    <s v="Unknown"/>
    <x v="4"/>
    <s v="Unknown"/>
    <x v="1"/>
    <s v="Chair"/>
    <n v="4"/>
    <n v="499.99"/>
    <n v="0"/>
    <n v="0"/>
    <x v="0"/>
    <s v="Unknown"/>
    <n v="1999.96"/>
    <n v="1999.96"/>
    <s v="01-2024"/>
    <s v="Normal"/>
  </r>
  <r>
    <s v="ORD1013"/>
    <x v="2"/>
    <s v="Unknown"/>
    <x v="4"/>
    <s v="Tamil Nadu"/>
    <x v="3"/>
    <s v="Laptop"/>
    <n v="3"/>
    <n v="799.5"/>
    <n v="5"/>
    <n v="30000"/>
    <x v="3"/>
    <s v="Unknown"/>
    <n v="2278.5749999999998"/>
    <n v="2398.5"/>
    <s v="01-2024"/>
    <s v="Normal"/>
  </r>
  <r>
    <s v="ORD1014"/>
    <x v="1"/>
    <s v="Unknown"/>
    <x v="2"/>
    <s v="Tamil Nadu"/>
    <x v="1"/>
    <s v="Laptop"/>
    <n v="3"/>
    <n v="499.99"/>
    <n v="0"/>
    <n v="0"/>
    <x v="4"/>
    <s v="Unknown"/>
    <n v="1499.97"/>
    <n v="1499.97"/>
    <s v="01-1900"/>
    <s v="Normal"/>
  </r>
  <r>
    <s v="ORD1015"/>
    <x v="1"/>
    <s v="Dr. John"/>
    <x v="0"/>
    <s v="Tamil Nadu"/>
    <x v="2"/>
    <s v="Laptop"/>
    <n v="1"/>
    <n v="12999"/>
    <n v="50"/>
    <n v="15000"/>
    <x v="2"/>
    <s v="Delivered"/>
    <n v="6499.5"/>
    <n v="12999"/>
    <s v="01-1900"/>
    <s v="Normal"/>
  </r>
  <r>
    <s v="ORD1053"/>
    <x v="0"/>
    <s v="Ms. Ananya Iyer"/>
    <x v="1"/>
    <s v="Maharashtra"/>
    <x v="0"/>
    <s v="Laptop"/>
    <n v="1"/>
    <n v="25999"/>
    <n v="5"/>
    <n v="30000"/>
    <x v="1"/>
    <s v="Delivered"/>
    <n v="74097.149999999994"/>
    <n v="25999"/>
    <s v="03-2024"/>
    <s v="High"/>
  </r>
  <r>
    <s v="ORD1017"/>
    <x v="1"/>
    <s v="Ms. Ananya Iyer"/>
    <x v="4"/>
    <s v="Unknown"/>
    <x v="3"/>
    <s v="Unknown"/>
    <n v="1"/>
    <n v="7830.7177904328155"/>
    <n v="15"/>
    <n v="0"/>
    <x v="3"/>
    <s v="Cancelled"/>
    <n v="6656.1101218678932"/>
    <n v="7830.7177904328155"/>
    <s v="01-1900"/>
    <s v="Normal"/>
  </r>
  <r>
    <s v="ORD1067"/>
    <x v="0"/>
    <s v="Ms. Ananya Iyer"/>
    <x v="4"/>
    <s v="Unknown"/>
    <x v="1"/>
    <s v="Unknown"/>
    <n v="3"/>
    <n v="7830.7177904328155"/>
    <n v="5"/>
    <n v="0"/>
    <x v="2"/>
    <s v="Unknown"/>
    <n v="51998"/>
    <n v="23492.153371298446"/>
    <s v="03-2024"/>
    <s v="High"/>
  </r>
  <r>
    <s v="ORD1019"/>
    <x v="1"/>
    <s v="Dr. John"/>
    <x v="4"/>
    <s v="Unknown"/>
    <x v="0"/>
    <s v="Laptop"/>
    <n v="2"/>
    <n v="799.5"/>
    <n v="50"/>
    <n v="30000"/>
    <x v="3"/>
    <s v="In Transit"/>
    <n v="799.5"/>
    <n v="1599"/>
    <s v="01-1900"/>
    <s v="Normal"/>
  </r>
  <r>
    <s v="ORD1020"/>
    <x v="0"/>
    <s v="Dr. John"/>
    <x v="1"/>
    <s v="Unknown"/>
    <x v="1"/>
    <s v="Mobile"/>
    <n v="4"/>
    <n v="499.99"/>
    <n v="10"/>
    <n v="-500"/>
    <x v="1"/>
    <s v="Returned"/>
    <n v="1799.9640000000002"/>
    <n v="1999.96"/>
    <s v="03-2024"/>
    <s v="Normal"/>
  </r>
  <r>
    <s v="ORD1075"/>
    <x v="0"/>
    <s v="Priya"/>
    <x v="3"/>
    <s v="Tamil Nadu"/>
    <x v="1"/>
    <s v="Unknown"/>
    <n v="1"/>
    <n v="12999"/>
    <n v="5"/>
    <n v="-500"/>
    <x v="2"/>
    <s v="Unknown"/>
    <n v="51996"/>
    <n v="12999"/>
    <s v="03-2024"/>
    <s v="High"/>
  </r>
  <r>
    <s v="ORD1090"/>
    <x v="0"/>
    <s v="Priya"/>
    <x v="1"/>
    <s v="Unknown"/>
    <x v="3"/>
    <s v="Unknown"/>
    <n v="1"/>
    <n v="25999"/>
    <n v="0"/>
    <n v="-500"/>
    <x v="0"/>
    <s v="Unknown"/>
    <n v="49398.1"/>
    <n v="25999"/>
    <s v="03-2024"/>
    <s v="High"/>
  </r>
  <r>
    <s v="ORD1092"/>
    <x v="0"/>
    <s v="Mr. Rahul Sharma"/>
    <x v="4"/>
    <s v="Karnataka"/>
    <x v="0"/>
    <s v="Laptop"/>
    <n v="2"/>
    <n v="7830.7177904328155"/>
    <n v="0"/>
    <n v="15000"/>
    <x v="3"/>
    <s v="In Transit"/>
    <n v="49398.1"/>
    <n v="15661.435580865631"/>
    <s v="03-2024"/>
    <s v="High"/>
  </r>
  <r>
    <s v="ORD1024"/>
    <x v="2"/>
    <s v="Unknown"/>
    <x v="4"/>
    <s v="Unknown"/>
    <x v="0"/>
    <s v="Mobile"/>
    <n v="1"/>
    <n v="7830.7177904328155"/>
    <n v="15"/>
    <n v="30000"/>
    <x v="4"/>
    <s v="Delivered"/>
    <n v="6656.1101218678932"/>
    <n v="7830.7177904328155"/>
    <s v="01-2024"/>
    <s v="Normal"/>
  </r>
  <r>
    <s v="ORD1025"/>
    <x v="3"/>
    <s v="Dr. John"/>
    <x v="1"/>
    <s v="Maharashtra"/>
    <x v="3"/>
    <s v="Mobile"/>
    <n v="1"/>
    <n v="7830.7177904328155"/>
    <n v="15"/>
    <n v="30000"/>
    <x v="1"/>
    <s v="Unknown"/>
    <n v="6656.1101218678932"/>
    <n v="7830.7177904328155"/>
    <s v="02-2024"/>
    <s v="Normal"/>
  </r>
  <r>
    <s v="ORD1026"/>
    <x v="2"/>
    <s v="Ms. Ananya Iyer"/>
    <x v="4"/>
    <s v="Karnataka"/>
    <x v="3"/>
    <s v="Unknown"/>
    <n v="1"/>
    <n v="499.99"/>
    <n v="5"/>
    <n v="0"/>
    <x v="2"/>
    <s v="In Transit"/>
    <n v="474.9905"/>
    <n v="499.99"/>
    <s v="01-2024"/>
    <s v="Normal"/>
  </r>
  <r>
    <s v="ORD1131"/>
    <x v="0"/>
    <s v="Unknown"/>
    <x v="4"/>
    <s v="Unknown"/>
    <x v="3"/>
    <s v="Chair"/>
    <n v="1"/>
    <n v="25999"/>
    <n v="10"/>
    <n v="0"/>
    <x v="0"/>
    <s v="Unknown"/>
    <n v="38997"/>
    <n v="25999"/>
    <s v="03-2024"/>
    <s v="High"/>
  </r>
  <r>
    <s v="ORD1028"/>
    <x v="1"/>
    <s v="Unknown"/>
    <x v="3"/>
    <s v="Maharashtra"/>
    <x v="3"/>
    <s v="Mobile"/>
    <n v="1"/>
    <n v="7830.7177904328155"/>
    <n v="15"/>
    <n v="15000"/>
    <x v="0"/>
    <s v="Cancelled"/>
    <n v="6656.1101218678932"/>
    <n v="7830.7177904328155"/>
    <s v="01-1900"/>
    <s v="Normal"/>
  </r>
  <r>
    <s v="ORD1029"/>
    <x v="1"/>
    <s v="Mr. Rahul Sharma"/>
    <x v="2"/>
    <s v="Unknown"/>
    <x v="2"/>
    <s v="Mobile"/>
    <n v="3"/>
    <n v="499.99"/>
    <n v="5"/>
    <n v="-500"/>
    <x v="0"/>
    <s v="Unknown"/>
    <n v="1424.9714999999999"/>
    <n v="1499.97"/>
    <s v="01-1900"/>
    <s v="Normal"/>
  </r>
  <r>
    <s v="ORD1030"/>
    <x v="0"/>
    <s v="Unknown"/>
    <x v="1"/>
    <s v="Unknown"/>
    <x v="0"/>
    <s v="Table"/>
    <n v="1"/>
    <n v="799.5"/>
    <n v="0"/>
    <n v="15000"/>
    <x v="1"/>
    <s v="Returned"/>
    <n v="799.5"/>
    <n v="799.5"/>
    <s v="03-2024"/>
    <s v="Normal"/>
  </r>
  <r>
    <s v="ORD1031"/>
    <x v="1"/>
    <s v="Dr. John"/>
    <x v="4"/>
    <s v="Unknown"/>
    <x v="1"/>
    <s v="Chair"/>
    <n v="1"/>
    <n v="799.5"/>
    <n v="5"/>
    <n v="499.99"/>
    <x v="2"/>
    <s v="Unknown"/>
    <n v="759.52499999999998"/>
    <n v="799.5"/>
    <s v="01-1900"/>
    <s v="Normal"/>
  </r>
  <r>
    <s v="ORD1134"/>
    <x v="0"/>
    <s v="Unknown"/>
    <x v="0"/>
    <s v="Maharashtra"/>
    <x v="1"/>
    <s v="Unknown"/>
    <n v="1"/>
    <n v="25999"/>
    <n v="15"/>
    <n v="0"/>
    <x v="3"/>
    <s v="Unknown"/>
    <n v="38997"/>
    <n v="25999"/>
    <s v="03-2024"/>
    <s v="High"/>
  </r>
  <r>
    <s v="ORD1033"/>
    <x v="1"/>
    <s v="Unknown"/>
    <x v="1"/>
    <s v="Unknown"/>
    <x v="0"/>
    <s v="Table"/>
    <n v="3"/>
    <n v="799.5"/>
    <n v="5"/>
    <n v="-500"/>
    <x v="4"/>
    <s v="Delivered"/>
    <n v="2278.5749999999998"/>
    <n v="2398.5"/>
    <s v="01-1900"/>
    <s v="Normal"/>
  </r>
  <r>
    <s v="ORD1137"/>
    <x v="0"/>
    <s v="Unknown"/>
    <x v="1"/>
    <s v="Unknown"/>
    <x v="1"/>
    <s v="Shirt"/>
    <n v="1"/>
    <n v="25999"/>
    <n v="0"/>
    <n v="15000"/>
    <x v="0"/>
    <s v="Unknown"/>
    <n v="38997"/>
    <n v="25999"/>
    <s v="03-2024"/>
    <s v="High"/>
  </r>
  <r>
    <s v="ORD1035"/>
    <x v="2"/>
    <s v="Unknown"/>
    <x v="1"/>
    <s v="Maharashtra"/>
    <x v="1"/>
    <s v="Unknown"/>
    <n v="1"/>
    <n v="7830.7177904328155"/>
    <n v="10"/>
    <n v="-500"/>
    <x v="4"/>
    <s v="Delivered"/>
    <n v="7047.6460113895337"/>
    <n v="7830.7177904328155"/>
    <s v="01-2024"/>
    <s v="Normal"/>
  </r>
  <r>
    <s v="ORD1036"/>
    <x v="1"/>
    <s v="Mr. Rahul Sharma"/>
    <x v="3"/>
    <s v="Unknown"/>
    <x v="3"/>
    <s v="Unknown"/>
    <n v="1"/>
    <n v="7830.7177904328155"/>
    <n v="0"/>
    <n v="0"/>
    <x v="0"/>
    <s v="Unknown"/>
    <n v="7830.7177904328155"/>
    <n v="7830.7177904328155"/>
    <s v="01-1900"/>
    <s v="Normal"/>
  </r>
  <r>
    <s v="ORD1139"/>
    <x v="0"/>
    <s v="Dr. John"/>
    <x v="2"/>
    <s v="Maharashtra"/>
    <x v="3"/>
    <s v="Mobile"/>
    <n v="2"/>
    <n v="12999"/>
    <n v="10"/>
    <n v="-500"/>
    <x v="4"/>
    <s v="Delivered"/>
    <n v="37047.15"/>
    <n v="25998"/>
    <s v="03-2024"/>
    <s v="High"/>
  </r>
  <r>
    <s v="ORD1038"/>
    <x v="1"/>
    <s v="Dr. John"/>
    <x v="4"/>
    <s v="Tamil Nadu"/>
    <x v="2"/>
    <s v="Laptop"/>
    <n v="1"/>
    <n v="7830.7177904328155"/>
    <n v="50"/>
    <n v="0"/>
    <x v="3"/>
    <s v="Unknown"/>
    <n v="3915.3588952164077"/>
    <n v="7830.7177904328155"/>
    <s v="01-1900"/>
    <s v="Normal"/>
  </r>
  <r>
    <s v="ORD1039"/>
    <x v="0"/>
    <s v="Mr. Rahul Sharma"/>
    <x v="4"/>
    <s v="Unknown"/>
    <x v="3"/>
    <s v="Laptop"/>
    <n v="1"/>
    <n v="499.99"/>
    <n v="0"/>
    <n v="30000"/>
    <x v="0"/>
    <s v="Unknown"/>
    <n v="499.99"/>
    <n v="499.99"/>
    <s v="03-2024"/>
    <s v="Normal"/>
  </r>
  <r>
    <s v="ORD1040"/>
    <x v="0"/>
    <s v="Priya"/>
    <x v="2"/>
    <s v="Karnataka"/>
    <x v="3"/>
    <s v="Mobile"/>
    <n v="3"/>
    <n v="12999"/>
    <n v="5"/>
    <n v="0"/>
    <x v="3"/>
    <s v="Cancelled"/>
    <n v="37047.15"/>
    <n v="38997"/>
    <s v="03-2024"/>
    <s v="High"/>
  </r>
  <r>
    <s v="ORD1041"/>
    <x v="2"/>
    <s v="Unknown"/>
    <x v="2"/>
    <s v="Unknown"/>
    <x v="1"/>
    <s v="Shirt"/>
    <n v="1"/>
    <n v="799.5"/>
    <n v="0"/>
    <n v="-500"/>
    <x v="3"/>
    <s v="Returned"/>
    <n v="799.5"/>
    <n v="799.5"/>
    <s v="01-2024"/>
    <s v="Normal"/>
  </r>
  <r>
    <s v="ORD1042"/>
    <x v="3"/>
    <s v="Priya"/>
    <x v="3"/>
    <s v="Unknown"/>
    <x v="1"/>
    <s v="Chair"/>
    <n v="1"/>
    <n v="799.5"/>
    <n v="50"/>
    <n v="15000"/>
    <x v="0"/>
    <s v="In Transit"/>
    <n v="399.75"/>
    <n v="799.5"/>
    <s v="02-2024"/>
    <s v="Normal"/>
  </r>
  <r>
    <s v="ORD1043"/>
    <x v="1"/>
    <s v="Priya"/>
    <x v="3"/>
    <s v="Unknown"/>
    <x v="3"/>
    <s v="Unknown"/>
    <n v="2"/>
    <n v="799.5"/>
    <n v="50"/>
    <n v="0"/>
    <x v="0"/>
    <s v="Cancelled"/>
    <n v="799.5"/>
    <n v="1599"/>
    <s v="01-1900"/>
    <s v="Normal"/>
  </r>
  <r>
    <s v="ORD1045"/>
    <x v="1"/>
    <s v="Priya"/>
    <x v="3"/>
    <s v="Karnataka"/>
    <x v="3"/>
    <s v="Unknown"/>
    <n v="4"/>
    <n v="499.99"/>
    <n v="10"/>
    <n v="0"/>
    <x v="1"/>
    <s v="Unknown"/>
    <n v="1799.9640000000002"/>
    <n v="1999.96"/>
    <s v="01-1900"/>
    <s v="Normal"/>
  </r>
  <r>
    <s v="ORD1046"/>
    <x v="1"/>
    <s v="Unknown"/>
    <x v="2"/>
    <s v="Maharashtra"/>
    <x v="3"/>
    <s v="Unknown"/>
    <n v="3"/>
    <n v="25999"/>
    <n v="50"/>
    <n v="-500"/>
    <x v="0"/>
    <s v="Cancelled"/>
    <n v="38998.5"/>
    <n v="77997"/>
    <s v="01-1900"/>
    <s v="High"/>
  </r>
  <r>
    <s v="ORD1047"/>
    <x v="0"/>
    <s v="Mr. Rahul Sharma"/>
    <x v="3"/>
    <s v="Unknown"/>
    <x v="0"/>
    <s v="Table"/>
    <n v="1"/>
    <n v="7830.7177904328155"/>
    <n v="5"/>
    <n v="0"/>
    <x v="0"/>
    <s v="Unknown"/>
    <n v="7439.1819009111741"/>
    <n v="7830.7177904328155"/>
    <s v="03-2024"/>
    <s v="Normal"/>
  </r>
  <r>
    <s v="ORD1048"/>
    <x v="1"/>
    <s v="Dr. John"/>
    <x v="4"/>
    <s v="Karnataka"/>
    <x v="2"/>
    <s v="Shirt"/>
    <n v="1"/>
    <n v="7830.7177904328155"/>
    <n v="0"/>
    <n v="0"/>
    <x v="2"/>
    <s v="In Transit"/>
    <n v="7830.7177904328155"/>
    <n v="7830.7177904328155"/>
    <s v="01-1900"/>
    <s v="Normal"/>
  </r>
  <r>
    <s v="ORD1140"/>
    <x v="0"/>
    <s v="Priya"/>
    <x v="2"/>
    <s v="Unknown"/>
    <x v="2"/>
    <s v="Chair"/>
    <n v="4"/>
    <n v="12999"/>
    <n v="0"/>
    <n v="-500"/>
    <x v="2"/>
    <s v="Returned"/>
    <n v="37047.15"/>
    <n v="51996"/>
    <s v="03-2024"/>
    <s v="High"/>
  </r>
  <r>
    <s v="ORD1050"/>
    <x v="1"/>
    <s v="Unknown"/>
    <x v="4"/>
    <s v="Karnataka"/>
    <x v="3"/>
    <s v="Unknown"/>
    <n v="1"/>
    <n v="7830.7177904328155"/>
    <n v="0"/>
    <n v="499.99"/>
    <x v="0"/>
    <s v="Unknown"/>
    <n v="7830.7177904328155"/>
    <n v="7830.7177904328155"/>
    <s v="01-1900"/>
    <s v="Normal"/>
  </r>
  <r>
    <s v="ORD1051"/>
    <x v="1"/>
    <s v="Ms. Ananya Iyer"/>
    <x v="2"/>
    <s v="Karnataka"/>
    <x v="2"/>
    <s v="Chair"/>
    <n v="4"/>
    <n v="7830.7177904328155"/>
    <n v="0"/>
    <n v="499.99"/>
    <x v="1"/>
    <s v="Cancelled"/>
    <n v="31322.871161731262"/>
    <n v="31322.871161731262"/>
    <s v="01-1900"/>
    <s v="High"/>
  </r>
  <r>
    <s v="ORD1052"/>
    <x v="0"/>
    <s v="Dr. John"/>
    <x v="3"/>
    <s v="Maharashtra"/>
    <x v="2"/>
    <s v="Unknown"/>
    <n v="1"/>
    <n v="25999"/>
    <n v="15"/>
    <n v="0"/>
    <x v="2"/>
    <s v="Cancelled"/>
    <n v="22099.149999999998"/>
    <n v="25999"/>
    <s v="03-2024"/>
    <s v="High"/>
  </r>
  <r>
    <s v="ORD1151"/>
    <x v="0"/>
    <s v="Unknown"/>
    <x v="3"/>
    <s v="Tamil Nadu"/>
    <x v="3"/>
    <s v="Shirt"/>
    <n v="2"/>
    <n v="25999"/>
    <n v="5"/>
    <n v="-500"/>
    <x v="2"/>
    <s v="Returned"/>
    <n v="33147.449999999997"/>
    <n v="51998"/>
    <s v="03-2024"/>
    <s v="High"/>
  </r>
  <r>
    <s v="ORD1054"/>
    <x v="1"/>
    <s v="Ms. Ananya Iyer"/>
    <x v="0"/>
    <s v="Maharashtra"/>
    <x v="0"/>
    <s v="Unknown"/>
    <n v="3"/>
    <n v="499.99"/>
    <n v="0"/>
    <n v="0"/>
    <x v="2"/>
    <s v="Unknown"/>
    <n v="1499.97"/>
    <n v="1499.97"/>
    <s v="01-1900"/>
    <s v="Normal"/>
  </r>
  <r>
    <s v="ORD1055"/>
    <x v="1"/>
    <s v="Mr. Rahul Sharma"/>
    <x v="1"/>
    <s v="Karnataka"/>
    <x v="3"/>
    <s v="Unknown"/>
    <n v="1"/>
    <n v="499.99"/>
    <n v="0"/>
    <n v="499.99"/>
    <x v="3"/>
    <s v="Returned"/>
    <n v="499.99"/>
    <n v="499.99"/>
    <s v="01-1900"/>
    <s v="Normal"/>
  </r>
  <r>
    <s v="ORD1154"/>
    <x v="0"/>
    <s v="Mr. Rahul Sharma"/>
    <x v="1"/>
    <s v="Tamil Nadu"/>
    <x v="3"/>
    <s v="Unknown"/>
    <n v="1"/>
    <n v="25999"/>
    <n v="0"/>
    <n v="15000"/>
    <x v="2"/>
    <s v="Delivered"/>
    <n v="31322.871161731262"/>
    <n v="25999"/>
    <s v="03-2024"/>
    <s v="High"/>
  </r>
  <r>
    <s v="ORD1057"/>
    <x v="2"/>
    <s v="Unknown"/>
    <x v="3"/>
    <s v="Maharashtra"/>
    <x v="0"/>
    <s v="Unknown"/>
    <n v="4"/>
    <n v="499.99"/>
    <n v="50"/>
    <n v="-500"/>
    <x v="3"/>
    <s v="Cancelled"/>
    <n v="999.98"/>
    <n v="1999.96"/>
    <s v="01-2024"/>
    <s v="Normal"/>
  </r>
  <r>
    <s v="ORD1058"/>
    <x v="1"/>
    <s v="Mr. Rahul Sharma"/>
    <x v="4"/>
    <s v="Maharashtra"/>
    <x v="2"/>
    <s v="Shirt"/>
    <n v="3"/>
    <n v="499.99"/>
    <n v="15"/>
    <n v="0"/>
    <x v="0"/>
    <s v="Returned"/>
    <n v="1274.9745"/>
    <n v="1499.97"/>
    <s v="01-1900"/>
    <s v="Normal"/>
  </r>
  <r>
    <s v="ORD1059"/>
    <x v="2"/>
    <s v="Priya"/>
    <x v="4"/>
    <s v="Karnataka"/>
    <x v="2"/>
    <s v="Unknown"/>
    <n v="4"/>
    <n v="499.99"/>
    <n v="0"/>
    <n v="30000"/>
    <x v="3"/>
    <s v="In Transit"/>
    <n v="1999.96"/>
    <n v="1999.96"/>
    <s v="01-2024"/>
    <s v="Normal"/>
  </r>
  <r>
    <s v="ORD1060"/>
    <x v="1"/>
    <s v="Unknown"/>
    <x v="3"/>
    <s v="Karnataka"/>
    <x v="1"/>
    <s v="Laptop"/>
    <n v="1"/>
    <n v="7830.7177904328155"/>
    <n v="50"/>
    <n v="0"/>
    <x v="1"/>
    <s v="In Transit"/>
    <n v="3915.3588952164077"/>
    <n v="7830.7177904328155"/>
    <s v="01-1900"/>
    <s v="Normal"/>
  </r>
  <r>
    <s v="ORD1061"/>
    <x v="1"/>
    <s v="Unknown"/>
    <x v="3"/>
    <s v="Unknown"/>
    <x v="3"/>
    <s v="Unknown"/>
    <n v="4"/>
    <n v="499.99"/>
    <n v="0"/>
    <n v="15000"/>
    <x v="2"/>
    <s v="Cancelled"/>
    <n v="1999.96"/>
    <n v="1999.96"/>
    <s v="01-1900"/>
    <s v="Normal"/>
  </r>
  <r>
    <s v="ORD1164"/>
    <x v="0"/>
    <s v="Dr. John"/>
    <x v="0"/>
    <s v="Maharashtra"/>
    <x v="1"/>
    <s v="Laptop"/>
    <n v="2"/>
    <n v="7830.7177904328155"/>
    <n v="0"/>
    <n v="15000"/>
    <x v="0"/>
    <s v="Returned"/>
    <n v="31322.871161731262"/>
    <n v="15661.435580865631"/>
    <s v="03-2024"/>
    <s v="High"/>
  </r>
  <r>
    <s v="ORD1182"/>
    <x v="0"/>
    <s v="Unknown"/>
    <x v="2"/>
    <s v="Tamil Nadu"/>
    <x v="1"/>
    <s v="Mobile"/>
    <n v="1"/>
    <n v="25999"/>
    <n v="0"/>
    <n v="0"/>
    <x v="1"/>
    <s v="In Transit"/>
    <n v="29756.727603644697"/>
    <n v="25999"/>
    <s v="03-2024"/>
    <s v="High"/>
  </r>
  <r>
    <s v="ORD1187"/>
    <x v="0"/>
    <s v="Unknown"/>
    <x v="3"/>
    <s v="Unknown"/>
    <x v="0"/>
    <s v="Table"/>
    <n v="4"/>
    <n v="12999"/>
    <n v="50"/>
    <n v="0"/>
    <x v="1"/>
    <s v="Delivered"/>
    <n v="28190.584045558135"/>
    <n v="51996"/>
    <s v="03-2024"/>
    <s v="High"/>
  </r>
  <r>
    <s v="ORD1065"/>
    <x v="2"/>
    <s v="Mr. Rahul Sharma"/>
    <x v="1"/>
    <s v="Unknown"/>
    <x v="3"/>
    <s v="Laptop"/>
    <n v="1"/>
    <n v="799.5"/>
    <n v="15"/>
    <n v="15000"/>
    <x v="0"/>
    <s v="Unknown"/>
    <n v="679.57499999999993"/>
    <n v="799.5"/>
    <s v="01-2024"/>
    <s v="Normal"/>
  </r>
  <r>
    <s v="ORD1066"/>
    <x v="0"/>
    <s v="Mr. Rahul Sharma"/>
    <x v="4"/>
    <s v="Unknown"/>
    <x v="3"/>
    <s v="Laptop"/>
    <n v="3"/>
    <n v="799.5"/>
    <n v="0"/>
    <n v="30000"/>
    <x v="2"/>
    <s v="Cancelled"/>
    <n v="2398.5"/>
    <n v="2398.5"/>
    <s v="03-2024"/>
    <s v="Normal"/>
  </r>
  <r>
    <s v="ORD1207"/>
    <x v="0"/>
    <s v="Unknown"/>
    <x v="3"/>
    <s v="Karnataka"/>
    <x v="3"/>
    <s v="Mobile"/>
    <n v="1"/>
    <n v="12999"/>
    <n v="15"/>
    <n v="15000"/>
    <x v="4"/>
    <s v="Returned"/>
    <n v="25999"/>
    <n v="12999"/>
    <s v="03-2024"/>
    <s v="High"/>
  </r>
  <r>
    <s v="ORD1069"/>
    <x v="1"/>
    <s v="Dr. John"/>
    <x v="1"/>
    <s v="Unknown"/>
    <x v="3"/>
    <s v="Laptop"/>
    <n v="2"/>
    <n v="799.5"/>
    <n v="0"/>
    <n v="-500"/>
    <x v="4"/>
    <s v="In Transit"/>
    <n v="1599"/>
    <n v="1599"/>
    <s v="01-1900"/>
    <s v="Normal"/>
  </r>
  <r>
    <s v="ORD1070"/>
    <x v="3"/>
    <s v="Unknown"/>
    <x v="4"/>
    <s v="Maharashtra"/>
    <x v="3"/>
    <s v="Laptop"/>
    <n v="1"/>
    <n v="25999"/>
    <n v="50"/>
    <n v="499.99"/>
    <x v="0"/>
    <s v="Cancelled"/>
    <n v="12999.5"/>
    <n v="25999"/>
    <s v="02-2024"/>
    <s v="High"/>
  </r>
  <r>
    <s v="ORD1071"/>
    <x v="2"/>
    <s v="Unknown"/>
    <x v="3"/>
    <s v="Karnataka"/>
    <x v="1"/>
    <s v="Shirt"/>
    <n v="1"/>
    <n v="7830.7177904328155"/>
    <n v="10"/>
    <n v="30000"/>
    <x v="4"/>
    <s v="Returned"/>
    <n v="7047.6460113895337"/>
    <n v="7830.7177904328155"/>
    <s v="01-2024"/>
    <s v="Normal"/>
  </r>
  <r>
    <s v="ORD1213"/>
    <x v="0"/>
    <s v="Unknown"/>
    <x v="4"/>
    <s v="Karnataka"/>
    <x v="1"/>
    <s v="Unknown"/>
    <n v="1"/>
    <n v="25999"/>
    <n v="5"/>
    <n v="-500"/>
    <x v="0"/>
    <s v="In Transit"/>
    <n v="25999"/>
    <n v="25999"/>
    <s v="03-2024"/>
    <s v="High"/>
  </r>
  <r>
    <s v="ORD1217"/>
    <x v="0"/>
    <s v="Dr. John"/>
    <x v="2"/>
    <s v="Tamil Nadu"/>
    <x v="3"/>
    <s v="Shirt"/>
    <n v="2"/>
    <n v="7830.7177904328155"/>
    <n v="15"/>
    <n v="499.99"/>
    <x v="0"/>
    <s v="Returned"/>
    <n v="25999"/>
    <n v="15661.435580865631"/>
    <s v="03-2024"/>
    <s v="High"/>
  </r>
  <r>
    <s v="ORD1229"/>
    <x v="0"/>
    <s v="Dr. John"/>
    <x v="1"/>
    <s v="Maharashtra"/>
    <x v="1"/>
    <s v="Laptop"/>
    <n v="1"/>
    <n v="25999"/>
    <n v="0"/>
    <n v="30000"/>
    <x v="3"/>
    <s v="Returned"/>
    <n v="25999"/>
    <n v="25999"/>
    <s v="03-2024"/>
    <s v="High"/>
  </r>
  <r>
    <s v="ORD1076"/>
    <x v="3"/>
    <s v="Priya"/>
    <x v="3"/>
    <s v="Maharashtra"/>
    <x v="0"/>
    <s v="Shirt"/>
    <n v="4"/>
    <n v="499.99"/>
    <n v="15"/>
    <n v="0"/>
    <x v="2"/>
    <s v="Unknown"/>
    <n v="1699.9659999999999"/>
    <n v="1999.96"/>
    <s v="02-2024"/>
    <s v="Normal"/>
  </r>
  <r>
    <s v="ORD1231"/>
    <x v="0"/>
    <s v="Priya"/>
    <x v="1"/>
    <s v="Unknown"/>
    <x v="1"/>
    <s v="Unknown"/>
    <n v="2"/>
    <n v="7830.7177904328155"/>
    <n v="0"/>
    <n v="-500"/>
    <x v="0"/>
    <s v="In Transit"/>
    <n v="25999"/>
    <n v="15661.435580865631"/>
    <s v="03-2024"/>
    <s v="High"/>
  </r>
  <r>
    <s v="ORD1079"/>
    <x v="0"/>
    <s v="Unknown"/>
    <x v="3"/>
    <s v="Unknown"/>
    <x v="1"/>
    <s v="Shirt"/>
    <n v="1"/>
    <n v="799.5"/>
    <n v="0"/>
    <n v="499.99"/>
    <x v="0"/>
    <s v="Unknown"/>
    <n v="799.5"/>
    <n v="799.5"/>
    <s v="03-2024"/>
    <s v="Normal"/>
  </r>
  <r>
    <s v="ORD1080"/>
    <x v="3"/>
    <s v="Unknown"/>
    <x v="1"/>
    <s v="Unknown"/>
    <x v="2"/>
    <s v="Mobile"/>
    <n v="1"/>
    <n v="25999"/>
    <n v="0"/>
    <n v="15000"/>
    <x v="2"/>
    <s v="Cancelled"/>
    <n v="25999"/>
    <n v="25999"/>
    <s v="02-2024"/>
    <s v="High"/>
  </r>
  <r>
    <s v="ORD1081"/>
    <x v="3"/>
    <s v="Unknown"/>
    <x v="3"/>
    <s v="Unknown"/>
    <x v="1"/>
    <s v="Table"/>
    <n v="1"/>
    <n v="499.99"/>
    <n v="15"/>
    <n v="15000"/>
    <x v="0"/>
    <s v="Unknown"/>
    <n v="424.99149999999997"/>
    <n v="499.99"/>
    <s v="02-2024"/>
    <s v="Normal"/>
  </r>
  <r>
    <s v="ORD1083"/>
    <x v="3"/>
    <s v="Ms. Ananya Iyer"/>
    <x v="3"/>
    <s v="Tamil Nadu"/>
    <x v="1"/>
    <s v="Unknown"/>
    <n v="1"/>
    <n v="499.99"/>
    <n v="15"/>
    <n v="15000"/>
    <x v="3"/>
    <s v="Returned"/>
    <n v="424.99149999999997"/>
    <n v="499.99"/>
    <s v="02-2024"/>
    <s v="Normal"/>
  </r>
  <r>
    <s v="ORD1084"/>
    <x v="1"/>
    <s v="Unknown"/>
    <x v="0"/>
    <s v="Maharashtra"/>
    <x v="0"/>
    <s v="Table"/>
    <n v="2"/>
    <n v="7830.7177904328155"/>
    <n v="15"/>
    <n v="-500"/>
    <x v="0"/>
    <s v="Cancelled"/>
    <n v="13312.220243735786"/>
    <n v="15661.435580865631"/>
    <s v="01-1900"/>
    <s v="High"/>
  </r>
  <r>
    <s v="ORD1085"/>
    <x v="2"/>
    <s v="Unknown"/>
    <x v="2"/>
    <s v="Unknown"/>
    <x v="3"/>
    <s v="Chair"/>
    <n v="1"/>
    <n v="499.99"/>
    <n v="10"/>
    <n v="15000"/>
    <x v="0"/>
    <s v="Cancelled"/>
    <n v="449.99100000000004"/>
    <n v="499.99"/>
    <s v="01-2024"/>
    <s v="Normal"/>
  </r>
  <r>
    <s v="ORD1246"/>
    <x v="0"/>
    <s v="Priya"/>
    <x v="3"/>
    <s v="Unknown"/>
    <x v="3"/>
    <s v="Unknown"/>
    <n v="3"/>
    <n v="7830.7177904328155"/>
    <n v="10"/>
    <n v="15000"/>
    <x v="3"/>
    <s v="Unknown"/>
    <n v="25998"/>
    <n v="23492.153371298446"/>
    <s v="03-2024"/>
    <s v="High"/>
  </r>
  <r>
    <s v="ORD1273"/>
    <x v="0"/>
    <s v="Ms. Ananya Iyer"/>
    <x v="3"/>
    <s v="Tamil Nadu"/>
    <x v="3"/>
    <s v="Laptop"/>
    <n v="3"/>
    <n v="7830.7177904328155"/>
    <n v="5"/>
    <n v="499.99"/>
    <x v="2"/>
    <s v="Delivered"/>
    <n v="24699.05"/>
    <n v="23492.153371298446"/>
    <s v="03-2024"/>
    <s v="High"/>
  </r>
  <r>
    <s v="ORD1274"/>
    <x v="0"/>
    <s v="Mr. Rahul Sharma"/>
    <x v="2"/>
    <s v="Karnataka"/>
    <x v="0"/>
    <s v="Unknown"/>
    <n v="1"/>
    <n v="12999"/>
    <n v="5"/>
    <n v="0"/>
    <x v="1"/>
    <s v="Returned"/>
    <n v="24699.05"/>
    <n v="12999"/>
    <s v="03-2024"/>
    <s v="High"/>
  </r>
  <r>
    <s v="ORD1279"/>
    <x v="0"/>
    <s v="Unknown"/>
    <x v="3"/>
    <s v="Unknown"/>
    <x v="3"/>
    <s v="Table"/>
    <n v="1"/>
    <n v="25999"/>
    <n v="15"/>
    <n v="0"/>
    <x v="4"/>
    <s v="In Transit"/>
    <n v="24699.05"/>
    <n v="25999"/>
    <s v="03-2024"/>
    <s v="High"/>
  </r>
  <r>
    <s v="ORD1283"/>
    <x v="0"/>
    <s v="Dr. John"/>
    <x v="1"/>
    <s v="Maharashtra"/>
    <x v="1"/>
    <s v="Table"/>
    <n v="2"/>
    <n v="12999"/>
    <n v="0"/>
    <n v="30000"/>
    <x v="3"/>
    <s v="Delivered"/>
    <n v="24699.05"/>
    <n v="25998"/>
    <s v="03-2024"/>
    <s v="High"/>
  </r>
  <r>
    <s v="ORD1091"/>
    <x v="1"/>
    <s v="Unknown"/>
    <x v="3"/>
    <s v="Maharashtra"/>
    <x v="1"/>
    <s v="Table"/>
    <n v="1"/>
    <n v="499.99"/>
    <n v="15"/>
    <n v="499.99"/>
    <x v="3"/>
    <s v="Delivered"/>
    <n v="424.99149999999997"/>
    <n v="499.99"/>
    <s v="01-1900"/>
    <s v="Normal"/>
  </r>
  <r>
    <s v="ORD1290"/>
    <x v="0"/>
    <s v="Dr. John"/>
    <x v="3"/>
    <s v="Unknown"/>
    <x v="0"/>
    <s v="Unknown"/>
    <n v="4"/>
    <n v="7830.7177904328155"/>
    <n v="50"/>
    <n v="15000"/>
    <x v="3"/>
    <s v="Unknown"/>
    <n v="23492.153371298446"/>
    <n v="31322.871161731262"/>
    <s v="03-2024"/>
    <s v="High"/>
  </r>
  <r>
    <s v="ORD1093"/>
    <x v="1"/>
    <s v="Ms. Ananya Iyer"/>
    <x v="1"/>
    <s v="Tamil Nadu"/>
    <x v="0"/>
    <s v="Table"/>
    <n v="1"/>
    <n v="7830.7177904328155"/>
    <n v="0"/>
    <n v="0"/>
    <x v="2"/>
    <s v="Delivered"/>
    <n v="7830.7177904328155"/>
    <n v="7830.7177904328155"/>
    <s v="01-1900"/>
    <s v="Normal"/>
  </r>
  <r>
    <s v="ORD1318"/>
    <x v="0"/>
    <s v="Mr. Rahul Sharma"/>
    <x v="3"/>
    <s v="Tamil Nadu"/>
    <x v="2"/>
    <s v="Laptop"/>
    <n v="2"/>
    <n v="7830.7177904328155"/>
    <n v="0"/>
    <n v="0"/>
    <x v="2"/>
    <s v="Unknown"/>
    <n v="23492.153371298446"/>
    <n v="15661.435580865631"/>
    <s v="03-2024"/>
    <s v="High"/>
  </r>
  <r>
    <s v="ORD1096"/>
    <x v="0"/>
    <s v="Mr. Rahul Sharma"/>
    <x v="3"/>
    <s v="Tamil Nadu"/>
    <x v="2"/>
    <s v="Table"/>
    <n v="2"/>
    <n v="7830.7177904328155"/>
    <n v="5"/>
    <n v="0"/>
    <x v="4"/>
    <s v="Cancelled"/>
    <n v="14878.363801822348"/>
    <n v="15661.435580865631"/>
    <s v="03-2024"/>
    <s v="High"/>
  </r>
  <r>
    <s v="ORD1097"/>
    <x v="3"/>
    <s v="Unknown"/>
    <x v="4"/>
    <s v="Karnataka"/>
    <x v="1"/>
    <s v="Laptop"/>
    <n v="1"/>
    <n v="499.99"/>
    <n v="10"/>
    <n v="15000"/>
    <x v="2"/>
    <s v="In Transit"/>
    <n v="449.99100000000004"/>
    <n v="499.99"/>
    <s v="02-2024"/>
    <s v="Normal"/>
  </r>
  <r>
    <s v="ORD1098"/>
    <x v="3"/>
    <s v="Ms. Ananya Iyer"/>
    <x v="0"/>
    <s v="Maharashtra"/>
    <x v="3"/>
    <s v="Chair"/>
    <n v="3"/>
    <n v="799.5"/>
    <n v="10"/>
    <n v="499.99"/>
    <x v="4"/>
    <s v="Returned"/>
    <n v="2158.65"/>
    <n v="2398.5"/>
    <s v="02-2024"/>
    <s v="Normal"/>
  </r>
  <r>
    <s v="ORD1099"/>
    <x v="2"/>
    <s v="Mr. Rahul Sharma"/>
    <x v="1"/>
    <s v="Unknown"/>
    <x v="1"/>
    <s v="Table"/>
    <n v="3"/>
    <n v="799.5"/>
    <n v="0"/>
    <n v="30000"/>
    <x v="4"/>
    <s v="Unknown"/>
    <n v="2398.5"/>
    <n v="2398.5"/>
    <s v="01-2024"/>
    <s v="Normal"/>
  </r>
  <r>
    <s v="ORD1100"/>
    <x v="0"/>
    <s v="Priya"/>
    <x v="3"/>
    <s v="Unknown"/>
    <x v="3"/>
    <s v="Laptop"/>
    <n v="1"/>
    <n v="7830.7177904328155"/>
    <n v="15"/>
    <n v="30000"/>
    <x v="0"/>
    <s v="Delivered"/>
    <n v="6656.1101218678932"/>
    <n v="7830.7177904328155"/>
    <s v="03-2024"/>
    <s v="Normal"/>
  </r>
  <r>
    <s v="ORD1101"/>
    <x v="2"/>
    <s v="Ms. Ananya Iyer"/>
    <x v="4"/>
    <s v="Unknown"/>
    <x v="1"/>
    <s v="Chair"/>
    <n v="1"/>
    <n v="25999"/>
    <n v="50"/>
    <n v="30000"/>
    <x v="1"/>
    <s v="Cancelled"/>
    <n v="12999.5"/>
    <n v="25999"/>
    <s v="01-2024"/>
    <s v="High"/>
  </r>
  <r>
    <s v="ORD1324"/>
    <x v="0"/>
    <s v="Unknown"/>
    <x v="0"/>
    <s v="Karnataka"/>
    <x v="3"/>
    <s v="Unknown"/>
    <n v="2"/>
    <n v="12999"/>
    <n v="15"/>
    <n v="499.99"/>
    <x v="3"/>
    <s v="In Transit"/>
    <n v="23399.100000000002"/>
    <n v="25998"/>
    <s v="03-2024"/>
    <s v="High"/>
  </r>
  <r>
    <s v="ORD1103"/>
    <x v="2"/>
    <s v="Unknown"/>
    <x v="1"/>
    <s v="Karnataka"/>
    <x v="0"/>
    <s v="Chair"/>
    <n v="1"/>
    <n v="7830.7177904328155"/>
    <n v="50"/>
    <n v="0"/>
    <x v="0"/>
    <s v="Cancelled"/>
    <n v="3915.3588952164077"/>
    <n v="7830.7177904328155"/>
    <s v="01-2024"/>
    <s v="Normal"/>
  </r>
  <r>
    <s v="ORD1339"/>
    <x v="0"/>
    <s v="Priya"/>
    <x v="1"/>
    <s v="Tamil Nadu"/>
    <x v="3"/>
    <s v="Table"/>
    <n v="3"/>
    <n v="12999"/>
    <n v="0"/>
    <n v="499.99"/>
    <x v="3"/>
    <s v="Returned"/>
    <n v="23398.2"/>
    <n v="38997"/>
    <s v="03-2024"/>
    <s v="High"/>
  </r>
  <r>
    <s v="ORD1343"/>
    <x v="0"/>
    <s v="Unknown"/>
    <x v="1"/>
    <s v="Karnataka"/>
    <x v="3"/>
    <s v="Table"/>
    <n v="4"/>
    <n v="7830.7177904328155"/>
    <n v="50"/>
    <n v="-500"/>
    <x v="3"/>
    <s v="In Transit"/>
    <n v="22317.545702733521"/>
    <n v="31322.871161731262"/>
    <s v="03-2024"/>
    <s v="High"/>
  </r>
  <r>
    <s v="ORD1106"/>
    <x v="3"/>
    <s v="Ms. Ananya Iyer"/>
    <x v="3"/>
    <s v="Unknown"/>
    <x v="3"/>
    <s v="Chair"/>
    <n v="1"/>
    <n v="7830.7177904328155"/>
    <n v="15"/>
    <n v="30000"/>
    <x v="2"/>
    <s v="In Transit"/>
    <n v="6656.1101218678932"/>
    <n v="7830.7177904328155"/>
    <s v="02-2024"/>
    <s v="Normal"/>
  </r>
  <r>
    <s v="ORD1107"/>
    <x v="0"/>
    <s v="Priya"/>
    <x v="3"/>
    <s v="Unknown"/>
    <x v="0"/>
    <s v="Unknown"/>
    <n v="1"/>
    <n v="799.5"/>
    <n v="5"/>
    <n v="15000"/>
    <x v="0"/>
    <s v="In Transit"/>
    <n v="759.52499999999998"/>
    <n v="799.5"/>
    <s v="03-2024"/>
    <s v="Normal"/>
  </r>
  <r>
    <s v="ORD1349"/>
    <x v="0"/>
    <s v="Priya"/>
    <x v="4"/>
    <s v="Unknown"/>
    <x v="3"/>
    <s v="Unknown"/>
    <n v="1"/>
    <n v="25999"/>
    <n v="5"/>
    <n v="0"/>
    <x v="3"/>
    <s v="Delivered"/>
    <n v="22317.545702733521"/>
    <n v="25999"/>
    <s v="03-2024"/>
    <s v="High"/>
  </r>
  <r>
    <s v="ORD1376"/>
    <x v="0"/>
    <s v="Dr. John"/>
    <x v="3"/>
    <s v="Karnataka"/>
    <x v="2"/>
    <s v="Mobile"/>
    <n v="1"/>
    <n v="25999"/>
    <n v="5"/>
    <n v="0"/>
    <x v="2"/>
    <s v="Delivered"/>
    <n v="22099.149999999998"/>
    <n v="25999"/>
    <s v="03-2024"/>
    <s v="High"/>
  </r>
  <r>
    <s v="ORD1110"/>
    <x v="2"/>
    <s v="Mr. Rahul Sharma"/>
    <x v="4"/>
    <s v="Tamil Nadu"/>
    <x v="0"/>
    <s v="Mobile"/>
    <n v="1"/>
    <n v="7830.7177904328155"/>
    <n v="10"/>
    <n v="-500"/>
    <x v="1"/>
    <s v="Unknown"/>
    <n v="7047.6460113895337"/>
    <n v="7830.7177904328155"/>
    <s v="01-2024"/>
    <s v="Normal"/>
  </r>
  <r>
    <s v="ORD1111"/>
    <x v="0"/>
    <s v="Unknown"/>
    <x v="4"/>
    <s v="Unknown"/>
    <x v="3"/>
    <s v="Unknown"/>
    <n v="1"/>
    <n v="12999"/>
    <n v="50"/>
    <n v="-500"/>
    <x v="4"/>
    <s v="Delivered"/>
    <n v="6499.5"/>
    <n v="12999"/>
    <s v="03-2024"/>
    <s v="Normal"/>
  </r>
  <r>
    <s v="ORD1112"/>
    <x v="3"/>
    <s v="Unknown"/>
    <x v="2"/>
    <s v="Karnataka"/>
    <x v="2"/>
    <s v="Table"/>
    <n v="1"/>
    <n v="799.5"/>
    <n v="10"/>
    <n v="499.99"/>
    <x v="2"/>
    <s v="Cancelled"/>
    <n v="719.55000000000007"/>
    <n v="799.5"/>
    <s v="02-2024"/>
    <s v="Normal"/>
  </r>
  <r>
    <s v="ORD1113"/>
    <x v="0"/>
    <s v="Mr. Rahul Sharma"/>
    <x v="3"/>
    <s v="Tamil Nadu"/>
    <x v="3"/>
    <s v="Unknown"/>
    <n v="1"/>
    <n v="7830.7177904328155"/>
    <n v="5"/>
    <n v="15000"/>
    <x v="2"/>
    <s v="Delivered"/>
    <n v="7439.1819009111741"/>
    <n v="7830.7177904328155"/>
    <s v="03-2024"/>
    <s v="Normal"/>
  </r>
  <r>
    <s v="ORD1114"/>
    <x v="3"/>
    <s v="Unknown"/>
    <x v="3"/>
    <s v="Tamil Nadu"/>
    <x v="3"/>
    <s v="Unknown"/>
    <n v="3"/>
    <n v="12999"/>
    <n v="0"/>
    <n v="-500"/>
    <x v="0"/>
    <s v="Cancelled"/>
    <n v="38997"/>
    <n v="38997"/>
    <s v="02-2024"/>
    <s v="High"/>
  </r>
  <r>
    <s v="ORD1115"/>
    <x v="1"/>
    <s v="Dr. John"/>
    <x v="4"/>
    <s v="Karnataka"/>
    <x v="1"/>
    <s v="Laptop"/>
    <n v="1"/>
    <n v="12999"/>
    <n v="10"/>
    <n v="15000"/>
    <x v="1"/>
    <s v="Cancelled"/>
    <n v="11699.1"/>
    <n v="12999"/>
    <s v="01-1900"/>
    <s v="High"/>
  </r>
  <r>
    <s v="ORD1116"/>
    <x v="3"/>
    <s v="Mr. Rahul Sharma"/>
    <x v="3"/>
    <s v="Karnataka"/>
    <x v="3"/>
    <s v="Laptop"/>
    <n v="2"/>
    <n v="7830.7177904328155"/>
    <n v="50"/>
    <n v="0"/>
    <x v="0"/>
    <s v="Unknown"/>
    <n v="7830.7177904328155"/>
    <n v="15661.435580865631"/>
    <s v="02-2024"/>
    <s v="Normal"/>
  </r>
  <r>
    <s v="ORD1117"/>
    <x v="1"/>
    <s v="Unknown"/>
    <x v="4"/>
    <s v="Maharashtra"/>
    <x v="0"/>
    <s v="Table"/>
    <n v="1"/>
    <n v="499.99"/>
    <n v="5"/>
    <n v="0"/>
    <x v="1"/>
    <s v="Cancelled"/>
    <n v="474.9905"/>
    <n v="499.99"/>
    <s v="01-1900"/>
    <s v="Normal"/>
  </r>
  <r>
    <s v="ORD1118"/>
    <x v="0"/>
    <s v="Ms. Ananya Iyer"/>
    <x v="4"/>
    <s v="Unknown"/>
    <x v="3"/>
    <s v="Shirt"/>
    <n v="3"/>
    <n v="799.5"/>
    <n v="0"/>
    <n v="15000"/>
    <x v="2"/>
    <s v="Unknown"/>
    <n v="2398.5"/>
    <n v="2398.5"/>
    <s v="03-2024"/>
    <s v="Normal"/>
  </r>
  <r>
    <s v="ORD1119"/>
    <x v="3"/>
    <s v="Ms. Ananya Iyer"/>
    <x v="4"/>
    <s v="Karnataka"/>
    <x v="3"/>
    <s v="Laptop"/>
    <n v="3"/>
    <n v="799.5"/>
    <n v="5"/>
    <n v="0"/>
    <x v="2"/>
    <s v="In Transit"/>
    <n v="2278.5749999999998"/>
    <n v="2398.5"/>
    <s v="02-2024"/>
    <s v="Normal"/>
  </r>
  <r>
    <s v="ORD1120"/>
    <x v="2"/>
    <s v="Mr. Rahul Sharma"/>
    <x v="2"/>
    <s v="Unknown"/>
    <x v="0"/>
    <s v="Mobile"/>
    <n v="2"/>
    <n v="499.99"/>
    <n v="0"/>
    <n v="0"/>
    <x v="4"/>
    <s v="Unknown"/>
    <n v="999.98"/>
    <n v="999.98"/>
    <s v="01-2024"/>
    <s v="Normal"/>
  </r>
  <r>
    <s v="ORD1122"/>
    <x v="3"/>
    <s v="Unknown"/>
    <x v="3"/>
    <s v="Maharashtra"/>
    <x v="1"/>
    <s v="Laptop"/>
    <n v="1"/>
    <n v="12999"/>
    <n v="50"/>
    <n v="-500"/>
    <x v="3"/>
    <s v="Returned"/>
    <n v="6499.5"/>
    <n v="12999"/>
    <s v="02-2024"/>
    <s v="Normal"/>
  </r>
  <r>
    <s v="ORD1123"/>
    <x v="1"/>
    <s v="Ms. Ananya Iyer"/>
    <x v="0"/>
    <s v="Unknown"/>
    <x v="1"/>
    <s v="Mobile"/>
    <n v="1"/>
    <n v="499.99"/>
    <n v="50"/>
    <n v="0"/>
    <x v="0"/>
    <s v="Returned"/>
    <n v="249.995"/>
    <n v="499.99"/>
    <s v="01-1900"/>
    <s v="Normal"/>
  </r>
  <r>
    <s v="ORD1389"/>
    <x v="0"/>
    <s v="Mr. Rahul Sharma"/>
    <x v="2"/>
    <s v="Tamil Nadu"/>
    <x v="3"/>
    <s v="Laptop"/>
    <n v="4"/>
    <n v="12999"/>
    <n v="0"/>
    <n v="499.99"/>
    <x v="1"/>
    <s v="In Transit"/>
    <n v="22099.149999999998"/>
    <n v="51996"/>
    <s v="03-2024"/>
    <s v="High"/>
  </r>
  <r>
    <s v="ORD1125"/>
    <x v="2"/>
    <s v="Ms. Ananya Iyer"/>
    <x v="4"/>
    <s v="Tamil Nadu"/>
    <x v="0"/>
    <s v="Table"/>
    <n v="2"/>
    <n v="7830.7177904328155"/>
    <n v="5"/>
    <n v="30000"/>
    <x v="2"/>
    <s v="Cancelled"/>
    <n v="14878.363801822348"/>
    <n v="15661.435580865631"/>
    <s v="01-2024"/>
    <s v="High"/>
  </r>
  <r>
    <s v="ORD1126"/>
    <x v="2"/>
    <s v="Unknown"/>
    <x v="3"/>
    <s v="Unknown"/>
    <x v="2"/>
    <s v="Unknown"/>
    <n v="3"/>
    <n v="7830.7177904328155"/>
    <n v="0"/>
    <n v="15000"/>
    <x v="2"/>
    <s v="Cancelled"/>
    <n v="23492.153371298446"/>
    <n v="23492.153371298446"/>
    <s v="01-2024"/>
    <s v="High"/>
  </r>
  <r>
    <s v="ORD1127"/>
    <x v="1"/>
    <s v="Dr. John"/>
    <x v="1"/>
    <s v="Unknown"/>
    <x v="3"/>
    <s v="Chair"/>
    <n v="1"/>
    <n v="25999"/>
    <n v="5"/>
    <n v="0"/>
    <x v="1"/>
    <s v="Cancelled"/>
    <n v="24699.05"/>
    <n v="25999"/>
    <s v="01-1900"/>
    <s v="High"/>
  </r>
  <r>
    <s v="ORD1128"/>
    <x v="1"/>
    <s v="Ms. Ananya Iyer"/>
    <x v="4"/>
    <s v="Maharashtra"/>
    <x v="0"/>
    <s v="Unknown"/>
    <n v="3"/>
    <n v="799.5"/>
    <n v="0"/>
    <n v="0"/>
    <x v="1"/>
    <s v="Unknown"/>
    <n v="2398.5"/>
    <n v="2398.5"/>
    <s v="01-1900"/>
    <s v="Normal"/>
  </r>
  <r>
    <s v="ORD1410"/>
    <x v="0"/>
    <s v="Ms. Ananya Iyer"/>
    <x v="3"/>
    <s v="Maharashtra"/>
    <x v="1"/>
    <s v="Shirt"/>
    <n v="2"/>
    <n v="7830.7177904328155"/>
    <n v="0"/>
    <n v="0"/>
    <x v="0"/>
    <s v="Unknown"/>
    <n v="15661.435580865631"/>
    <n v="15661.435580865631"/>
    <s v="03-2024"/>
    <s v="High"/>
  </r>
  <r>
    <s v="ORD1428"/>
    <x v="0"/>
    <s v="Unknown"/>
    <x v="4"/>
    <s v="Maharashtra"/>
    <x v="1"/>
    <s v="Unknown"/>
    <n v="2"/>
    <n v="7830.7177904328155"/>
    <n v="5"/>
    <n v="499.99"/>
    <x v="2"/>
    <s v="In Transit"/>
    <n v="15661.435580865631"/>
    <n v="15661.435580865631"/>
    <s v="03-2024"/>
    <s v="High"/>
  </r>
  <r>
    <s v="ORD1430"/>
    <x v="0"/>
    <s v="Dr. John"/>
    <x v="1"/>
    <s v="Unknown"/>
    <x v="0"/>
    <s v="Unknown"/>
    <n v="4"/>
    <n v="7830.7177904328155"/>
    <n v="0"/>
    <n v="0"/>
    <x v="2"/>
    <s v="Unknown"/>
    <n v="15661.435580865631"/>
    <n v="31322.871161731262"/>
    <s v="03-2024"/>
    <s v="High"/>
  </r>
  <r>
    <s v="ORD1443"/>
    <x v="0"/>
    <s v="Ms. Ananya Iyer"/>
    <x v="0"/>
    <s v="Karnataka"/>
    <x v="3"/>
    <s v="Mobile"/>
    <n v="2"/>
    <n v="12999"/>
    <n v="0"/>
    <n v="0"/>
    <x v="4"/>
    <s v="Delivered"/>
    <n v="14878.363801822348"/>
    <n v="25998"/>
    <s v="03-2024"/>
    <s v="High"/>
  </r>
  <r>
    <s v="ORD1133"/>
    <x v="2"/>
    <s v="Mr. Rahul Sharma"/>
    <x v="4"/>
    <s v="Maharashtra"/>
    <x v="1"/>
    <s v="Table"/>
    <n v="1"/>
    <n v="499.99"/>
    <n v="5"/>
    <n v="499.99"/>
    <x v="4"/>
    <s v="Unknown"/>
    <n v="474.9905"/>
    <n v="499.99"/>
    <s v="01-2024"/>
    <s v="Normal"/>
  </r>
  <r>
    <s v="ORD1452"/>
    <x v="0"/>
    <s v="Dr. John"/>
    <x v="1"/>
    <s v="Unknown"/>
    <x v="3"/>
    <s v="Unknown"/>
    <n v="2"/>
    <n v="25999"/>
    <n v="10"/>
    <n v="30000"/>
    <x v="0"/>
    <s v="Unknown"/>
    <n v="13312.220243735786"/>
    <n v="51998"/>
    <s v="03-2024"/>
    <s v="High"/>
  </r>
  <r>
    <s v="ORD1135"/>
    <x v="1"/>
    <s v="Dr. John"/>
    <x v="0"/>
    <s v="Tamil Nadu"/>
    <x v="3"/>
    <s v="Shirt"/>
    <n v="1"/>
    <n v="499.99"/>
    <n v="15"/>
    <n v="0"/>
    <x v="1"/>
    <s v="In Transit"/>
    <n v="424.99149999999997"/>
    <n v="499.99"/>
    <s v="01-1900"/>
    <s v="Normal"/>
  </r>
  <r>
    <s v="ORD1136"/>
    <x v="1"/>
    <s v="Priya"/>
    <x v="1"/>
    <s v="Maharashtra"/>
    <x v="1"/>
    <s v="Laptop"/>
    <n v="1"/>
    <n v="7830.7177904328155"/>
    <n v="10"/>
    <n v="0"/>
    <x v="2"/>
    <s v="In Transit"/>
    <n v="7047.6460113895337"/>
    <n v="7830.7177904328155"/>
    <s v="01-1900"/>
    <s v="Normal"/>
  </r>
  <r>
    <s v="ORD1453"/>
    <x v="0"/>
    <s v="Mr. Rahul Sharma"/>
    <x v="4"/>
    <s v="Unknown"/>
    <x v="3"/>
    <s v="Table"/>
    <n v="3"/>
    <n v="7830.7177904328155"/>
    <n v="0"/>
    <n v="30000"/>
    <x v="0"/>
    <s v="Delivered"/>
    <n v="13312.220243735786"/>
    <n v="23492.153371298446"/>
    <s v="03-2024"/>
    <s v="High"/>
  </r>
  <r>
    <s v="ORD1459"/>
    <x v="0"/>
    <s v="Unknown"/>
    <x v="3"/>
    <s v="Maharashtra"/>
    <x v="1"/>
    <s v="Mobile"/>
    <n v="3"/>
    <n v="25999"/>
    <n v="0"/>
    <n v="15000"/>
    <x v="0"/>
    <s v="Unknown"/>
    <n v="12999.5"/>
    <n v="77997"/>
    <s v="03-2024"/>
    <s v="High"/>
  </r>
  <r>
    <s v="ORD1461"/>
    <x v="0"/>
    <s v="Priya"/>
    <x v="1"/>
    <s v="Unknown"/>
    <x v="3"/>
    <s v="Unknown"/>
    <n v="2"/>
    <n v="7830.7177904328155"/>
    <n v="15"/>
    <n v="0"/>
    <x v="0"/>
    <s v="Unknown"/>
    <n v="12999.5"/>
    <n v="15661.435580865631"/>
    <s v="03-2024"/>
    <s v="High"/>
  </r>
  <r>
    <s v="ORD1490"/>
    <x v="0"/>
    <s v="Dr. John"/>
    <x v="3"/>
    <s v="Tamil Nadu"/>
    <x v="1"/>
    <s v="Mobile"/>
    <n v="3"/>
    <n v="7830.7177904328155"/>
    <n v="0"/>
    <n v="0"/>
    <x v="3"/>
    <s v="Returned"/>
    <n v="12999"/>
    <n v="23492.153371298446"/>
    <s v="03-2024"/>
    <s v="High"/>
  </r>
  <r>
    <s v="ORD1141"/>
    <x v="0"/>
    <s v="Unknown"/>
    <x v="2"/>
    <s v="Maharashtra"/>
    <x v="2"/>
    <s v="Mobile"/>
    <n v="3"/>
    <n v="799.5"/>
    <n v="0"/>
    <n v="15000"/>
    <x v="3"/>
    <s v="Delivered"/>
    <n v="2398.5"/>
    <n v="2398.5"/>
    <s v="03-2024"/>
    <s v="Normal"/>
  </r>
  <r>
    <s v="ORD1502"/>
    <x v="0"/>
    <s v="Unknown"/>
    <x v="2"/>
    <s v="Tamil Nadu"/>
    <x v="3"/>
    <s v="Unknown"/>
    <n v="2"/>
    <n v="7830.7177904328155"/>
    <n v="0"/>
    <n v="30000"/>
    <x v="0"/>
    <s v="Returned"/>
    <n v="12349.05"/>
    <n v="15661.435580865631"/>
    <s v="03-2024"/>
    <s v="High"/>
  </r>
  <r>
    <s v="ORD1143"/>
    <x v="0"/>
    <s v="Unknown"/>
    <x v="2"/>
    <s v="Unknown"/>
    <x v="1"/>
    <s v="Unknown"/>
    <n v="1"/>
    <n v="799.5"/>
    <n v="10"/>
    <n v="0"/>
    <x v="4"/>
    <s v="Unknown"/>
    <n v="719.55000000000007"/>
    <n v="799.5"/>
    <s v="03-2024"/>
    <s v="Normal"/>
  </r>
  <r>
    <s v="ORD1144"/>
    <x v="1"/>
    <s v="Dr. John"/>
    <x v="3"/>
    <s v="Unknown"/>
    <x v="1"/>
    <s v="Table"/>
    <n v="1"/>
    <n v="499.99"/>
    <n v="50"/>
    <n v="0"/>
    <x v="3"/>
    <s v="Cancelled"/>
    <n v="249.995"/>
    <n v="499.99"/>
    <s v="01-1900"/>
    <s v="Normal"/>
  </r>
  <r>
    <s v="ORD1146"/>
    <x v="1"/>
    <s v="Unknown"/>
    <x v="1"/>
    <s v="Unknown"/>
    <x v="1"/>
    <s v="Chair"/>
    <n v="1"/>
    <n v="7830.7177904328155"/>
    <n v="10"/>
    <n v="0"/>
    <x v="0"/>
    <s v="Cancelled"/>
    <n v="7047.6460113895337"/>
    <n v="7830.7177904328155"/>
    <s v="01-1900"/>
    <s v="Normal"/>
  </r>
  <r>
    <s v="ORD1147"/>
    <x v="1"/>
    <s v="Dr. John"/>
    <x v="3"/>
    <s v="Unknown"/>
    <x v="0"/>
    <s v="Chair"/>
    <n v="1"/>
    <n v="7830.7177904328155"/>
    <n v="15"/>
    <n v="0"/>
    <x v="0"/>
    <s v="Unknown"/>
    <n v="6656.1101218678932"/>
    <n v="7830.7177904328155"/>
    <s v="01-1900"/>
    <s v="Normal"/>
  </r>
  <r>
    <s v="ORD1148"/>
    <x v="2"/>
    <s v="Unknown"/>
    <x v="4"/>
    <s v="Unknown"/>
    <x v="1"/>
    <s v="Shirt"/>
    <n v="4"/>
    <n v="799.5"/>
    <n v="0"/>
    <n v="0"/>
    <x v="1"/>
    <s v="Cancelled"/>
    <n v="3198"/>
    <n v="3198"/>
    <s v="01-2024"/>
    <s v="Normal"/>
  </r>
  <r>
    <s v="ORD1149"/>
    <x v="1"/>
    <s v="Unknown"/>
    <x v="4"/>
    <s v="Unknown"/>
    <x v="3"/>
    <s v="Unknown"/>
    <n v="1"/>
    <n v="499.99"/>
    <n v="50"/>
    <n v="0"/>
    <x v="3"/>
    <s v="In Transit"/>
    <n v="249.995"/>
    <n v="499.99"/>
    <s v="01-1900"/>
    <s v="Normal"/>
  </r>
  <r>
    <s v="ORD1150"/>
    <x v="3"/>
    <s v="Unknown"/>
    <x v="4"/>
    <s v="Tamil Nadu"/>
    <x v="0"/>
    <s v="Table"/>
    <n v="3"/>
    <n v="499.99"/>
    <n v="0"/>
    <n v="499.99"/>
    <x v="0"/>
    <s v="In Transit"/>
    <n v="1499.97"/>
    <n v="1499.97"/>
    <s v="02-2024"/>
    <s v="Normal"/>
  </r>
  <r>
    <s v="ORD1518"/>
    <x v="0"/>
    <s v="Unknown"/>
    <x v="4"/>
    <s v="Unknown"/>
    <x v="0"/>
    <s v="Mobile"/>
    <n v="3"/>
    <n v="7830.7177904328155"/>
    <n v="50"/>
    <n v="0"/>
    <x v="0"/>
    <s v="Delivered"/>
    <n v="11699.1"/>
    <n v="23492.153371298446"/>
    <s v="03-2024"/>
    <s v="High"/>
  </r>
  <r>
    <s v="ORD1530"/>
    <x v="0"/>
    <s v="Priya"/>
    <x v="3"/>
    <s v="Unknown"/>
    <x v="0"/>
    <s v="Table"/>
    <n v="4"/>
    <n v="25999"/>
    <n v="0"/>
    <n v="-500"/>
    <x v="2"/>
    <s v="In Transit"/>
    <n v="11049.15"/>
    <n v="103996"/>
    <s v="03-2024"/>
    <s v="High"/>
  </r>
  <r>
    <s v="ORD1155"/>
    <x v="1"/>
    <s v="Mr. Rahul Sharma"/>
    <x v="0"/>
    <s v="Unknown"/>
    <x v="3"/>
    <s v="Chair"/>
    <n v="4"/>
    <n v="499.99"/>
    <n v="5"/>
    <n v="499.99"/>
    <x v="2"/>
    <s v="Cancelled"/>
    <n v="1899.962"/>
    <n v="1999.96"/>
    <s v="01-1900"/>
    <s v="Normal"/>
  </r>
  <r>
    <s v="ORD1156"/>
    <x v="1"/>
    <s v="Unknown"/>
    <x v="1"/>
    <s v="Karnataka"/>
    <x v="0"/>
    <s v="Laptop"/>
    <n v="2"/>
    <n v="499.99"/>
    <n v="5"/>
    <n v="0"/>
    <x v="3"/>
    <s v="In Transit"/>
    <n v="949.98099999999999"/>
    <n v="999.98"/>
    <s v="01-1900"/>
    <s v="Normal"/>
  </r>
  <r>
    <s v="ORD1157"/>
    <x v="1"/>
    <s v="Mr. Rahul Sharma"/>
    <x v="1"/>
    <s v="Unknown"/>
    <x v="2"/>
    <s v="Unknown"/>
    <n v="1"/>
    <n v="12999"/>
    <n v="50"/>
    <n v="0"/>
    <x v="1"/>
    <s v="Unknown"/>
    <n v="6499.5"/>
    <n v="12999"/>
    <s v="01-1900"/>
    <s v="Normal"/>
  </r>
  <r>
    <s v="ORD1158"/>
    <x v="0"/>
    <s v="Ms. Ananya Iyer"/>
    <x v="3"/>
    <s v="Unknown"/>
    <x v="3"/>
    <s v="Chair"/>
    <n v="3"/>
    <n v="499.99"/>
    <n v="0"/>
    <n v="0"/>
    <x v="2"/>
    <s v="Unknown"/>
    <n v="1499.97"/>
    <n v="1499.97"/>
    <s v="03-2024"/>
    <s v="Normal"/>
  </r>
  <r>
    <s v="ORD1001"/>
    <x v="3"/>
    <s v="Unknown"/>
    <x v="3"/>
    <s v="Karnataka"/>
    <x v="1"/>
    <s v="Mobile"/>
    <n v="1"/>
    <n v="25999"/>
    <n v="0"/>
    <n v="499.99"/>
    <x v="0"/>
    <s v="Returned"/>
    <n v="103996"/>
    <n v="25999"/>
    <s v="02-2024"/>
    <s v="High"/>
  </r>
  <r>
    <s v="ORD1160"/>
    <x v="3"/>
    <s v="Priya"/>
    <x v="1"/>
    <s v="Maharashtra"/>
    <x v="0"/>
    <s v="Chair"/>
    <n v="3"/>
    <n v="499.99"/>
    <n v="5"/>
    <n v="15000"/>
    <x v="2"/>
    <s v="Returned"/>
    <n v="1424.9714999999999"/>
    <n v="1499.97"/>
    <s v="02-2024"/>
    <s v="Normal"/>
  </r>
  <r>
    <s v="ORD1161"/>
    <x v="0"/>
    <s v="Unknown"/>
    <x v="1"/>
    <s v="Maharashtra"/>
    <x v="2"/>
    <s v="Unknown"/>
    <n v="1"/>
    <n v="25999"/>
    <n v="15"/>
    <n v="499.99"/>
    <x v="1"/>
    <s v="Cancelled"/>
    <n v="22099.149999999998"/>
    <n v="25999"/>
    <s v="03-2024"/>
    <s v="High"/>
  </r>
  <r>
    <s v="ORD1010"/>
    <x v="3"/>
    <s v="Ms. Ananya Iyer"/>
    <x v="3"/>
    <s v="Unknown"/>
    <x v="3"/>
    <s v="Unknown"/>
    <n v="1"/>
    <n v="12999"/>
    <n v="10"/>
    <n v="15000"/>
    <x v="0"/>
    <s v="Delivered"/>
    <n v="103996"/>
    <n v="12999"/>
    <s v="02-2024"/>
    <s v="High"/>
  </r>
  <r>
    <s v="ORD1018"/>
    <x v="3"/>
    <s v="Unknown"/>
    <x v="4"/>
    <s v="Unknown"/>
    <x v="1"/>
    <s v="Unknown"/>
    <n v="4"/>
    <n v="7830.7177904328155"/>
    <n v="5"/>
    <n v="499.99"/>
    <x v="0"/>
    <s v="Unknown"/>
    <n v="103996"/>
    <n v="31322.871161731262"/>
    <s v="02-2024"/>
    <s v="High"/>
  </r>
  <r>
    <s v="ORD1034"/>
    <x v="3"/>
    <s v="Unknown"/>
    <x v="0"/>
    <s v="Tamil Nadu"/>
    <x v="0"/>
    <s v="Shirt"/>
    <n v="1"/>
    <n v="12999"/>
    <n v="0"/>
    <n v="499.99"/>
    <x v="4"/>
    <s v="In Transit"/>
    <n v="77997"/>
    <n v="12999"/>
    <s v="02-2024"/>
    <s v="High"/>
  </r>
  <r>
    <s v="ORD1165"/>
    <x v="1"/>
    <s v="Dr. John"/>
    <x v="1"/>
    <s v="Unknown"/>
    <x v="3"/>
    <s v="Laptop"/>
    <n v="3"/>
    <n v="799.5"/>
    <n v="0"/>
    <n v="0"/>
    <x v="0"/>
    <s v="Cancelled"/>
    <n v="2398.5"/>
    <n v="2398.5"/>
    <s v="01-1900"/>
    <s v="Normal"/>
  </r>
  <r>
    <s v="ORD1072"/>
    <x v="3"/>
    <s v="Dr. John"/>
    <x v="2"/>
    <s v="Karnataka"/>
    <x v="1"/>
    <s v="Unknown"/>
    <n v="2"/>
    <n v="7830.7177904328155"/>
    <n v="15"/>
    <n v="499.99"/>
    <x v="2"/>
    <s v="Returned"/>
    <n v="51998"/>
    <n v="15661.435580865631"/>
    <s v="02-2024"/>
    <s v="High"/>
  </r>
  <r>
    <s v="ORD1167"/>
    <x v="3"/>
    <s v="Mr. Rahul Sharma"/>
    <x v="1"/>
    <s v="Karnataka"/>
    <x v="2"/>
    <s v="Unknown"/>
    <n v="2"/>
    <n v="499.99"/>
    <n v="15"/>
    <n v="-500"/>
    <x v="1"/>
    <s v="Unknown"/>
    <n v="849.98299999999995"/>
    <n v="999.98"/>
    <s v="02-2024"/>
    <s v="Normal"/>
  </r>
  <r>
    <s v="ORD1168"/>
    <x v="2"/>
    <s v="Dr. John"/>
    <x v="3"/>
    <s v="Unknown"/>
    <x v="1"/>
    <s v="Mobile"/>
    <n v="1"/>
    <n v="7830.7177904328155"/>
    <n v="15"/>
    <n v="0"/>
    <x v="0"/>
    <s v="Unknown"/>
    <n v="6656.1101218678932"/>
    <n v="7830.7177904328155"/>
    <s v="01-2024"/>
    <s v="Normal"/>
  </r>
  <r>
    <s v="ORD1109"/>
    <x v="3"/>
    <s v="Dr. John"/>
    <x v="3"/>
    <s v="Unknown"/>
    <x v="1"/>
    <s v="Unknown"/>
    <n v="1"/>
    <n v="12999"/>
    <n v="15"/>
    <n v="499.99"/>
    <x v="1"/>
    <s v="Unknown"/>
    <n v="44196.6"/>
    <n v="12999"/>
    <s v="02-2024"/>
    <s v="High"/>
  </r>
  <r>
    <s v="ORD1170"/>
    <x v="0"/>
    <s v="Unknown"/>
    <x v="4"/>
    <s v="Karnataka"/>
    <x v="0"/>
    <s v="Laptop"/>
    <n v="4"/>
    <n v="799.5"/>
    <n v="0"/>
    <n v="30000"/>
    <x v="3"/>
    <s v="Returned"/>
    <n v="3198"/>
    <n v="3198"/>
    <s v="03-2024"/>
    <s v="Normal"/>
  </r>
  <r>
    <s v="ORD1171"/>
    <x v="3"/>
    <s v="Dr. John"/>
    <x v="0"/>
    <s v="Unknown"/>
    <x v="1"/>
    <s v="Mobile"/>
    <n v="4"/>
    <n v="799.5"/>
    <n v="10"/>
    <n v="0"/>
    <x v="1"/>
    <s v="Unknown"/>
    <n v="2878.2000000000003"/>
    <n v="3198"/>
    <s v="02-2024"/>
    <s v="Normal"/>
  </r>
  <r>
    <s v="ORD1172"/>
    <x v="1"/>
    <s v="Unknown"/>
    <x v="1"/>
    <s v="Unknown"/>
    <x v="2"/>
    <s v="Mobile"/>
    <n v="1"/>
    <n v="7830.7177904328155"/>
    <n v="0"/>
    <n v="0"/>
    <x v="3"/>
    <s v="Returned"/>
    <n v="7830.7177904328155"/>
    <n v="7830.7177904328155"/>
    <s v="01-1900"/>
    <s v="Normal"/>
  </r>
  <r>
    <s v="ORD1173"/>
    <x v="0"/>
    <s v="Unknown"/>
    <x v="4"/>
    <s v="Unknown"/>
    <x v="3"/>
    <s v="Unknown"/>
    <n v="1"/>
    <n v="499.99"/>
    <n v="10"/>
    <n v="0"/>
    <x v="4"/>
    <s v="In Transit"/>
    <n v="449.99100000000004"/>
    <n v="499.99"/>
    <s v="03-2024"/>
    <s v="Normal"/>
  </r>
  <r>
    <s v="ORD1174"/>
    <x v="1"/>
    <s v="Unknown"/>
    <x v="3"/>
    <s v="Karnataka"/>
    <x v="3"/>
    <s v="Mobile"/>
    <n v="1"/>
    <n v="799.5"/>
    <n v="10"/>
    <n v="0"/>
    <x v="4"/>
    <s v="In Transit"/>
    <n v="719.55000000000007"/>
    <n v="799.5"/>
    <s v="01-1900"/>
    <s v="Normal"/>
  </r>
  <r>
    <s v="ORD1175"/>
    <x v="1"/>
    <s v="Ms. Ananya Iyer"/>
    <x v="2"/>
    <s v="Tamil Nadu"/>
    <x v="3"/>
    <s v="Shirt"/>
    <n v="4"/>
    <n v="799.5"/>
    <n v="10"/>
    <n v="0"/>
    <x v="3"/>
    <s v="Delivered"/>
    <n v="2878.2000000000003"/>
    <n v="3198"/>
    <s v="01-1900"/>
    <s v="Normal"/>
  </r>
  <r>
    <s v="ORD1124"/>
    <x v="3"/>
    <s v="Unknown"/>
    <x v="2"/>
    <s v="Maharashtra"/>
    <x v="1"/>
    <s v="Shirt"/>
    <n v="1"/>
    <n v="25999"/>
    <n v="10"/>
    <n v="499.99"/>
    <x v="4"/>
    <s v="Returned"/>
    <n v="38998.5"/>
    <n v="25999"/>
    <s v="02-2024"/>
    <s v="High"/>
  </r>
  <r>
    <s v="ORD1177"/>
    <x v="0"/>
    <s v="Unknown"/>
    <x v="1"/>
    <s v="Karnataka"/>
    <x v="3"/>
    <s v="Unknown"/>
    <n v="1"/>
    <n v="7830.7177904328155"/>
    <n v="15"/>
    <n v="0"/>
    <x v="2"/>
    <s v="Returned"/>
    <n v="6656.1101218678932"/>
    <n v="7830.7177904328155"/>
    <s v="03-2024"/>
    <s v="Normal"/>
  </r>
  <r>
    <s v="ORD1179"/>
    <x v="1"/>
    <s v="Priya"/>
    <x v="1"/>
    <s v="Unknown"/>
    <x v="1"/>
    <s v="Unknown"/>
    <n v="1"/>
    <n v="799.5"/>
    <n v="0"/>
    <n v="-500"/>
    <x v="2"/>
    <s v="Returned"/>
    <n v="799.5"/>
    <n v="799.5"/>
    <s v="01-1900"/>
    <s v="Normal"/>
  </r>
  <r>
    <s v="ORD1180"/>
    <x v="3"/>
    <s v="Ms. Ananya Iyer"/>
    <x v="4"/>
    <s v="Unknown"/>
    <x v="2"/>
    <s v="Shirt"/>
    <n v="1"/>
    <n v="7830.7177904328155"/>
    <n v="5"/>
    <n v="15000"/>
    <x v="2"/>
    <s v="Unknown"/>
    <n v="7439.1819009111741"/>
    <n v="7830.7177904328155"/>
    <s v="02-2024"/>
    <s v="Normal"/>
  </r>
  <r>
    <s v="ORD1130"/>
    <x v="3"/>
    <s v="Mr. Rahul Sharma"/>
    <x v="3"/>
    <s v="Karnataka"/>
    <x v="2"/>
    <s v="Laptop"/>
    <n v="1"/>
    <n v="25999"/>
    <n v="0"/>
    <n v="15000"/>
    <x v="0"/>
    <s v="In Transit"/>
    <n v="38998.5"/>
    <n v="25999"/>
    <s v="02-2024"/>
    <s v="High"/>
  </r>
  <r>
    <s v="ORD1166"/>
    <x v="3"/>
    <s v="Mr. Rahul Sharma"/>
    <x v="1"/>
    <s v="Tamil Nadu"/>
    <x v="1"/>
    <s v="Table"/>
    <n v="4"/>
    <n v="7830.7177904328155"/>
    <n v="5"/>
    <n v="15000"/>
    <x v="2"/>
    <s v="Unknown"/>
    <n v="31322.871161731262"/>
    <n v="31322.871161731262"/>
    <s v="02-2024"/>
    <s v="High"/>
  </r>
  <r>
    <s v="ORD1183"/>
    <x v="0"/>
    <s v="Unknown"/>
    <x v="4"/>
    <s v="Maharashtra"/>
    <x v="2"/>
    <s v="Mobile"/>
    <n v="1"/>
    <n v="7830.7177904328155"/>
    <n v="15"/>
    <n v="499.99"/>
    <x v="0"/>
    <s v="Unknown"/>
    <n v="6656.1101218678932"/>
    <n v="7830.7177904328155"/>
    <s v="03-2024"/>
    <s v="Normal"/>
  </r>
  <r>
    <s v="ORD1184"/>
    <x v="1"/>
    <s v="Ms. Ananya Iyer"/>
    <x v="3"/>
    <s v="Maharashtra"/>
    <x v="3"/>
    <s v="Chair"/>
    <n v="3"/>
    <n v="499.99"/>
    <n v="0"/>
    <n v="0"/>
    <x v="4"/>
    <s v="Unknown"/>
    <n v="1499.97"/>
    <n v="1499.97"/>
    <s v="01-1900"/>
    <s v="Normal"/>
  </r>
  <r>
    <s v="ORD1185"/>
    <x v="1"/>
    <s v="Dr. John"/>
    <x v="3"/>
    <s v="Karnataka"/>
    <x v="0"/>
    <s v="Mobile"/>
    <n v="1"/>
    <n v="799.5"/>
    <n v="5"/>
    <n v="15000"/>
    <x v="0"/>
    <s v="In Transit"/>
    <n v="759.52499999999998"/>
    <n v="799.5"/>
    <s v="01-1900"/>
    <s v="Normal"/>
  </r>
  <r>
    <s v="ORD1169"/>
    <x v="3"/>
    <s v="Unknown"/>
    <x v="3"/>
    <s v="Karnataka"/>
    <x v="2"/>
    <s v="Chair"/>
    <n v="1"/>
    <n v="25999"/>
    <n v="15"/>
    <n v="0"/>
    <x v="1"/>
    <s v="Returned"/>
    <n v="31322.871161731262"/>
    <n v="25999"/>
    <s v="02-2024"/>
    <s v="High"/>
  </r>
  <r>
    <s v="ORD1181"/>
    <x v="3"/>
    <s v="Priya"/>
    <x v="2"/>
    <s v="Karnataka"/>
    <x v="0"/>
    <s v="Unknown"/>
    <n v="1"/>
    <n v="12999"/>
    <n v="0"/>
    <n v="30000"/>
    <x v="0"/>
    <s v="Unknown"/>
    <n v="29756.727603644697"/>
    <n v="12999"/>
    <s v="02-2024"/>
    <s v="High"/>
  </r>
  <r>
    <s v="ORD1188"/>
    <x v="0"/>
    <s v="Unknown"/>
    <x v="3"/>
    <s v="Unknown"/>
    <x v="3"/>
    <s v="Table"/>
    <n v="1"/>
    <n v="499.99"/>
    <n v="50"/>
    <n v="499.99"/>
    <x v="1"/>
    <s v="Unknown"/>
    <n v="249.995"/>
    <n v="499.99"/>
    <s v="03-2024"/>
    <s v="Normal"/>
  </r>
  <r>
    <s v="ORD1186"/>
    <x v="3"/>
    <s v="Mr. Rahul Sharma"/>
    <x v="3"/>
    <s v="Unknown"/>
    <x v="0"/>
    <s v="Unknown"/>
    <n v="3"/>
    <n v="7830.7177904328155"/>
    <n v="50"/>
    <n v="499.99"/>
    <x v="3"/>
    <s v="Unknown"/>
    <n v="29756.727603644697"/>
    <n v="23492.153371298446"/>
    <s v="02-2024"/>
    <s v="High"/>
  </r>
  <r>
    <s v="ORD1190"/>
    <x v="0"/>
    <s v="Ms. Ananya Iyer"/>
    <x v="0"/>
    <s v="Unknown"/>
    <x v="2"/>
    <s v="Shirt"/>
    <n v="1"/>
    <n v="7830.7177904328155"/>
    <n v="0"/>
    <n v="30000"/>
    <x v="4"/>
    <s v="Delivered"/>
    <n v="7830.7177904328155"/>
    <n v="7830.7177904328155"/>
    <s v="03-2024"/>
    <s v="Normal"/>
  </r>
  <r>
    <s v="ORD1189"/>
    <x v="3"/>
    <s v="Priya"/>
    <x v="0"/>
    <s v="Unknown"/>
    <x v="1"/>
    <s v="Chair"/>
    <n v="4"/>
    <n v="25999"/>
    <n v="0"/>
    <n v="-500"/>
    <x v="3"/>
    <s v="Returned"/>
    <n v="28190.584045558135"/>
    <n v="103996"/>
    <s v="02-2024"/>
    <s v="High"/>
  </r>
  <r>
    <s v="ORD1203"/>
    <x v="3"/>
    <s v="Priya"/>
    <x v="3"/>
    <s v="Unknown"/>
    <x v="1"/>
    <s v="Shirt"/>
    <n v="2"/>
    <n v="7830.7177904328155"/>
    <n v="0"/>
    <n v="30000"/>
    <x v="4"/>
    <s v="Unknown"/>
    <n v="25999"/>
    <n v="15661.435580865631"/>
    <s v="02-2024"/>
    <s v="High"/>
  </r>
  <r>
    <s v="ORD1193"/>
    <x v="1"/>
    <s v="Unknown"/>
    <x v="4"/>
    <s v="Tamil Nadu"/>
    <x v="2"/>
    <s v="Unknown"/>
    <n v="2"/>
    <n v="799.5"/>
    <n v="5"/>
    <n v="0"/>
    <x v="0"/>
    <s v="Unknown"/>
    <n v="1519.05"/>
    <n v="1599"/>
    <s v="01-1900"/>
    <s v="Normal"/>
  </r>
  <r>
    <s v="ORD1194"/>
    <x v="2"/>
    <s v="Priya"/>
    <x v="0"/>
    <s v="Maharashtra"/>
    <x v="1"/>
    <s v="Table"/>
    <n v="1"/>
    <n v="499.99"/>
    <n v="5"/>
    <n v="30000"/>
    <x v="1"/>
    <s v="In Transit"/>
    <n v="474.9905"/>
    <n v="499.99"/>
    <s v="01-2024"/>
    <s v="Normal"/>
  </r>
  <r>
    <s v="ORD1220"/>
    <x v="3"/>
    <s v="Mr. Rahul Sharma"/>
    <x v="2"/>
    <s v="Unknown"/>
    <x v="3"/>
    <s v="Chair"/>
    <n v="2"/>
    <n v="12999"/>
    <n v="0"/>
    <n v="0"/>
    <x v="4"/>
    <s v="Delivered"/>
    <n v="25999"/>
    <n v="25998"/>
    <s v="02-2024"/>
    <s v="High"/>
  </r>
  <r>
    <s v="ORD1196"/>
    <x v="0"/>
    <s v="Mr. Rahul Sharma"/>
    <x v="3"/>
    <s v="Karnataka"/>
    <x v="1"/>
    <s v="Laptop"/>
    <n v="1"/>
    <n v="499.99"/>
    <n v="0"/>
    <n v="-500"/>
    <x v="0"/>
    <s v="Delivered"/>
    <n v="499.99"/>
    <n v="499.99"/>
    <s v="03-2024"/>
    <s v="Normal"/>
  </r>
  <r>
    <s v="ORD1197"/>
    <x v="3"/>
    <s v="Unknown"/>
    <x v="3"/>
    <s v="Unknown"/>
    <x v="3"/>
    <s v="Unknown"/>
    <n v="1"/>
    <n v="799.5"/>
    <n v="0"/>
    <n v="15000"/>
    <x v="0"/>
    <s v="In Transit"/>
    <n v="799.5"/>
    <n v="799.5"/>
    <s v="02-2024"/>
    <s v="Normal"/>
  </r>
  <r>
    <s v="ORD1243"/>
    <x v="3"/>
    <s v="Unknown"/>
    <x v="1"/>
    <s v="Unknown"/>
    <x v="0"/>
    <s v="Mobile"/>
    <n v="1"/>
    <n v="25999"/>
    <n v="50"/>
    <n v="0"/>
    <x v="0"/>
    <s v="Returned"/>
    <n v="25998"/>
    <n v="25999"/>
    <s v="02-2024"/>
    <s v="High"/>
  </r>
  <r>
    <s v="ORD1199"/>
    <x v="3"/>
    <s v="Dr. John"/>
    <x v="0"/>
    <s v="Unknown"/>
    <x v="1"/>
    <s v="Chair"/>
    <n v="1"/>
    <n v="499.99"/>
    <n v="0"/>
    <n v="30000"/>
    <x v="1"/>
    <s v="In Transit"/>
    <n v="499.99"/>
    <n v="499.99"/>
    <s v="02-2024"/>
    <s v="Normal"/>
  </r>
  <r>
    <s v="ORD1245"/>
    <x v="3"/>
    <s v="Unknown"/>
    <x v="0"/>
    <s v="Unknown"/>
    <x v="1"/>
    <s v="Chair"/>
    <n v="1"/>
    <n v="25999"/>
    <n v="0"/>
    <n v="-500"/>
    <x v="0"/>
    <s v="Returned"/>
    <n v="25998"/>
    <n v="25999"/>
    <s v="02-2024"/>
    <s v="High"/>
  </r>
  <r>
    <s v="ORD1201"/>
    <x v="1"/>
    <s v="Ms. Ananya Iyer"/>
    <x v="4"/>
    <s v="Maharashtra"/>
    <x v="3"/>
    <s v="Mobile"/>
    <n v="4"/>
    <n v="7830.7177904328155"/>
    <n v="10"/>
    <n v="499.99"/>
    <x v="2"/>
    <s v="Cancelled"/>
    <n v="28190.584045558135"/>
    <n v="31322.871161731262"/>
    <s v="01-1900"/>
    <s v="High"/>
  </r>
  <r>
    <s v="ORD1247"/>
    <x v="3"/>
    <s v="Unknown"/>
    <x v="3"/>
    <s v="Tamil Nadu"/>
    <x v="1"/>
    <s v="Table"/>
    <n v="1"/>
    <n v="12999"/>
    <n v="0"/>
    <n v="0"/>
    <x v="2"/>
    <s v="Unknown"/>
    <n v="25998"/>
    <n v="12999"/>
    <s v="02-2024"/>
    <s v="High"/>
  </r>
  <r>
    <s v="ORD1265"/>
    <x v="3"/>
    <s v="Unknown"/>
    <x v="3"/>
    <s v="Unknown"/>
    <x v="2"/>
    <s v="Chair"/>
    <n v="4"/>
    <n v="25999"/>
    <n v="0"/>
    <n v="-500"/>
    <x v="1"/>
    <s v="Returned"/>
    <n v="24699.05"/>
    <n v="103996"/>
    <s v="02-2024"/>
    <s v="High"/>
  </r>
  <r>
    <s v="ORD1204"/>
    <x v="3"/>
    <s v="Dr. John"/>
    <x v="4"/>
    <s v="Unknown"/>
    <x v="0"/>
    <s v="Unknown"/>
    <n v="1"/>
    <n v="7830.7177904328155"/>
    <n v="0"/>
    <n v="499.99"/>
    <x v="0"/>
    <s v="In Transit"/>
    <n v="7830.7177904328155"/>
    <n v="7830.7177904328155"/>
    <s v="02-2024"/>
    <s v="Normal"/>
  </r>
  <r>
    <s v="ORD1205"/>
    <x v="3"/>
    <s v="Unknown"/>
    <x v="3"/>
    <s v="Tamil Nadu"/>
    <x v="3"/>
    <s v="Unknown"/>
    <n v="1"/>
    <n v="7830.7177904328155"/>
    <n v="15"/>
    <n v="0"/>
    <x v="2"/>
    <s v="Returned"/>
    <n v="6656.1101218678932"/>
    <n v="7830.7177904328155"/>
    <s v="02-2024"/>
    <s v="Normal"/>
  </r>
  <r>
    <s v="ORD1206"/>
    <x v="1"/>
    <s v="Mr. Rahul Sharma"/>
    <x v="4"/>
    <s v="Unknown"/>
    <x v="0"/>
    <s v="Chair"/>
    <n v="2"/>
    <n v="799.5"/>
    <n v="50"/>
    <n v="0"/>
    <x v="2"/>
    <s v="Cancelled"/>
    <n v="799.5"/>
    <n v="1599"/>
    <s v="01-1900"/>
    <s v="Normal"/>
  </r>
  <r>
    <s v="ORD1271"/>
    <x v="3"/>
    <s v="Priya"/>
    <x v="4"/>
    <s v="Tamil Nadu"/>
    <x v="3"/>
    <s v="Table"/>
    <n v="2"/>
    <n v="25999"/>
    <n v="5"/>
    <n v="15000"/>
    <x v="3"/>
    <s v="Delivered"/>
    <n v="24699.05"/>
    <n v="51998"/>
    <s v="02-2024"/>
    <s v="High"/>
  </r>
  <r>
    <s v="ORD1208"/>
    <x v="3"/>
    <s v="Priya"/>
    <x v="3"/>
    <s v="Tamil Nadu"/>
    <x v="2"/>
    <s v="Unknown"/>
    <n v="1"/>
    <n v="7830.7177904328155"/>
    <n v="10"/>
    <n v="30000"/>
    <x v="0"/>
    <s v="Unknown"/>
    <n v="7047.6460113895337"/>
    <n v="7830.7177904328155"/>
    <s v="02-2024"/>
    <s v="Normal"/>
  </r>
  <r>
    <s v="ORD1209"/>
    <x v="1"/>
    <s v="Unknown"/>
    <x v="2"/>
    <s v="Maharashtra"/>
    <x v="0"/>
    <s v="Unknown"/>
    <n v="4"/>
    <n v="499.99"/>
    <n v="0"/>
    <n v="-500"/>
    <x v="4"/>
    <s v="Delivered"/>
    <n v="1999.96"/>
    <n v="1999.96"/>
    <s v="01-1900"/>
    <s v="Normal"/>
  </r>
  <r>
    <s v="ORD1285"/>
    <x v="3"/>
    <s v="Unknown"/>
    <x v="3"/>
    <s v="Tamil Nadu"/>
    <x v="2"/>
    <s v="Unknown"/>
    <n v="1"/>
    <n v="12999"/>
    <n v="5"/>
    <n v="499.99"/>
    <x v="4"/>
    <s v="Returned"/>
    <n v="24699.05"/>
    <n v="12999"/>
    <s v="02-2024"/>
    <s v="High"/>
  </r>
  <r>
    <s v="ORD1297"/>
    <x v="3"/>
    <s v="Priya"/>
    <x v="2"/>
    <s v="Unknown"/>
    <x v="3"/>
    <s v="Unknown"/>
    <n v="2"/>
    <n v="7830.7177904328155"/>
    <n v="10"/>
    <n v="30000"/>
    <x v="1"/>
    <s v="In Transit"/>
    <n v="23492.153371298446"/>
    <n v="15661.435580865631"/>
    <s v="02-2024"/>
    <s v="High"/>
  </r>
  <r>
    <s v="ORD1212"/>
    <x v="1"/>
    <s v="Mr. Rahul Sharma"/>
    <x v="3"/>
    <s v="Unknown"/>
    <x v="2"/>
    <s v="Chair"/>
    <n v="1"/>
    <n v="799.5"/>
    <n v="0"/>
    <n v="0"/>
    <x v="3"/>
    <s v="Unknown"/>
    <n v="799.5"/>
    <n v="799.5"/>
    <s v="01-1900"/>
    <s v="Normal"/>
  </r>
  <r>
    <s v="ORD1299"/>
    <x v="3"/>
    <s v="Priya"/>
    <x v="3"/>
    <s v="Karnataka"/>
    <x v="3"/>
    <s v="Unknown"/>
    <n v="4"/>
    <n v="25999"/>
    <n v="15"/>
    <n v="499.99"/>
    <x v="2"/>
    <s v="Unknown"/>
    <n v="23492.153371298446"/>
    <n v="103996"/>
    <s v="02-2024"/>
    <s v="High"/>
  </r>
  <r>
    <s v="ORD1314"/>
    <x v="3"/>
    <s v="Dr. John"/>
    <x v="3"/>
    <s v="Tamil Nadu"/>
    <x v="3"/>
    <s v="Table"/>
    <n v="1"/>
    <n v="12999"/>
    <n v="0"/>
    <n v="0"/>
    <x v="4"/>
    <s v="In Transit"/>
    <n v="23492.153371298446"/>
    <n v="12999"/>
    <s v="02-2024"/>
    <s v="High"/>
  </r>
  <r>
    <s v="ORD1319"/>
    <x v="3"/>
    <s v="Unknown"/>
    <x v="4"/>
    <s v="Unknown"/>
    <x v="3"/>
    <s v="Chair"/>
    <n v="2"/>
    <n v="25999"/>
    <n v="0"/>
    <n v="30000"/>
    <x v="2"/>
    <s v="In Transit"/>
    <n v="23492.153371298446"/>
    <n v="51998"/>
    <s v="02-2024"/>
    <s v="High"/>
  </r>
  <r>
    <s v="ORD1216"/>
    <x v="2"/>
    <s v="Unknown"/>
    <x v="4"/>
    <s v="Unknown"/>
    <x v="2"/>
    <s v="Table"/>
    <n v="4"/>
    <n v="7830.7177904328155"/>
    <n v="0"/>
    <n v="15000"/>
    <x v="0"/>
    <s v="Cancelled"/>
    <n v="31322.871161731262"/>
    <n v="31322.871161731262"/>
    <s v="01-2024"/>
    <s v="High"/>
  </r>
  <r>
    <s v="ORD1352"/>
    <x v="3"/>
    <s v="Unknown"/>
    <x v="4"/>
    <s v="Unknown"/>
    <x v="3"/>
    <s v="Laptop"/>
    <n v="1"/>
    <n v="25999"/>
    <n v="0"/>
    <n v="30000"/>
    <x v="0"/>
    <s v="In Transit"/>
    <n v="22099.149999999998"/>
    <n v="25999"/>
    <s v="02-2024"/>
    <s v="High"/>
  </r>
  <r>
    <s v="ORD1372"/>
    <x v="3"/>
    <s v="Unknown"/>
    <x v="0"/>
    <s v="Unknown"/>
    <x v="1"/>
    <s v="Shirt"/>
    <n v="3"/>
    <n v="12999"/>
    <n v="15"/>
    <n v="0"/>
    <x v="2"/>
    <s v="In Transit"/>
    <n v="22099.149999999998"/>
    <n v="38997"/>
    <s v="02-2024"/>
    <s v="High"/>
  </r>
  <r>
    <s v="ORD1219"/>
    <x v="1"/>
    <s v="Unknown"/>
    <x v="4"/>
    <s v="Karnataka"/>
    <x v="3"/>
    <s v="Shirt"/>
    <n v="3"/>
    <n v="799.5"/>
    <n v="0"/>
    <n v="15000"/>
    <x v="4"/>
    <s v="Cancelled"/>
    <n v="2398.5"/>
    <n v="2398.5"/>
    <s v="01-1900"/>
    <s v="Normal"/>
  </r>
  <r>
    <s v="ORD1418"/>
    <x v="3"/>
    <s v="Ms. Ananya Iyer"/>
    <x v="0"/>
    <s v="Unknown"/>
    <x v="3"/>
    <s v="Laptop"/>
    <n v="1"/>
    <n v="12999"/>
    <n v="0"/>
    <n v="15000"/>
    <x v="2"/>
    <s v="Returned"/>
    <n v="15661.435580865631"/>
    <n v="12999"/>
    <s v="02-2024"/>
    <s v="High"/>
  </r>
  <r>
    <s v="ORD1221"/>
    <x v="0"/>
    <s v="Dr. John"/>
    <x v="4"/>
    <s v="Unknown"/>
    <x v="2"/>
    <s v="Mobile"/>
    <n v="1"/>
    <n v="7830.7177904328155"/>
    <n v="0"/>
    <n v="0"/>
    <x v="3"/>
    <s v="Unknown"/>
    <n v="7830.7177904328155"/>
    <n v="7830.7177904328155"/>
    <s v="03-2024"/>
    <s v="Normal"/>
  </r>
  <r>
    <s v="ORD1222"/>
    <x v="1"/>
    <s v="Dr. John"/>
    <x v="3"/>
    <s v="Unknown"/>
    <x v="3"/>
    <s v="Unknown"/>
    <n v="1"/>
    <n v="7830.7177904328155"/>
    <n v="50"/>
    <n v="499.99"/>
    <x v="2"/>
    <s v="Cancelled"/>
    <n v="3915.3588952164077"/>
    <n v="7830.7177904328155"/>
    <s v="01-1900"/>
    <s v="Normal"/>
  </r>
  <r>
    <s v="ORD1223"/>
    <x v="1"/>
    <s v="Unknown"/>
    <x v="3"/>
    <s v="Unknown"/>
    <x v="3"/>
    <s v="Unknown"/>
    <n v="2"/>
    <n v="499.99"/>
    <n v="10"/>
    <n v="30000"/>
    <x v="4"/>
    <s v="Returned"/>
    <n v="899.98200000000008"/>
    <n v="999.98"/>
    <s v="01-1900"/>
    <s v="Normal"/>
  </r>
  <r>
    <s v="ORD1224"/>
    <x v="0"/>
    <s v="Priya"/>
    <x v="2"/>
    <s v="Karnataka"/>
    <x v="3"/>
    <s v="Table"/>
    <n v="4"/>
    <n v="499.99"/>
    <n v="0"/>
    <n v="15000"/>
    <x v="1"/>
    <s v="Returned"/>
    <n v="1999.96"/>
    <n v="1999.96"/>
    <s v="03-2024"/>
    <s v="Normal"/>
  </r>
  <r>
    <s v="ORD1225"/>
    <x v="1"/>
    <s v="Mr. Rahul Sharma"/>
    <x v="3"/>
    <s v="Unknown"/>
    <x v="0"/>
    <s v="Shirt"/>
    <n v="1"/>
    <n v="7830.7177904328155"/>
    <n v="15"/>
    <n v="499.99"/>
    <x v="4"/>
    <s v="In Transit"/>
    <n v="6656.1101218678932"/>
    <n v="7830.7177904328155"/>
    <s v="01-1900"/>
    <s v="Normal"/>
  </r>
  <r>
    <s v="ORD1226"/>
    <x v="1"/>
    <s v="Unknown"/>
    <x v="1"/>
    <s v="Unknown"/>
    <x v="1"/>
    <s v="Laptop"/>
    <n v="1"/>
    <n v="799.5"/>
    <n v="15"/>
    <n v="0"/>
    <x v="1"/>
    <s v="Returned"/>
    <n v="679.57499999999993"/>
    <n v="799.5"/>
    <s v="01-1900"/>
    <s v="Normal"/>
  </r>
  <r>
    <s v="ORD1227"/>
    <x v="1"/>
    <s v="Unknown"/>
    <x v="2"/>
    <s v="Karnataka"/>
    <x v="0"/>
    <s v="Table"/>
    <n v="1"/>
    <n v="7830.7177904328155"/>
    <n v="5"/>
    <n v="0"/>
    <x v="3"/>
    <s v="Delivered"/>
    <n v="7439.1819009111741"/>
    <n v="7830.7177904328155"/>
    <s v="01-1900"/>
    <s v="Normal"/>
  </r>
  <r>
    <s v="ORD1228"/>
    <x v="1"/>
    <s v="Mr. Rahul Sharma"/>
    <x v="2"/>
    <s v="Tamil Nadu"/>
    <x v="3"/>
    <s v="Chair"/>
    <n v="1"/>
    <n v="7830.7177904328155"/>
    <n v="5"/>
    <n v="-500"/>
    <x v="3"/>
    <s v="Cancelled"/>
    <n v="7439.1819009111741"/>
    <n v="7830.7177904328155"/>
    <s v="01-1900"/>
    <s v="Normal"/>
  </r>
  <r>
    <s v="ORD1427"/>
    <x v="3"/>
    <s v="Unknown"/>
    <x v="4"/>
    <s v="Tamil Nadu"/>
    <x v="3"/>
    <s v="Unknown"/>
    <n v="3"/>
    <n v="12999"/>
    <n v="0"/>
    <n v="0"/>
    <x v="1"/>
    <s v="Unknown"/>
    <n v="15661.435580865631"/>
    <n v="38997"/>
    <s v="02-2024"/>
    <s v="High"/>
  </r>
  <r>
    <s v="ORD1440"/>
    <x v="3"/>
    <s v="Unknown"/>
    <x v="3"/>
    <s v="Unknown"/>
    <x v="3"/>
    <s v="Mobile"/>
    <n v="2"/>
    <n v="25999"/>
    <n v="5"/>
    <n v="30000"/>
    <x v="4"/>
    <s v="Unknown"/>
    <n v="14878.363801822348"/>
    <n v="51998"/>
    <s v="02-2024"/>
    <s v="High"/>
  </r>
  <r>
    <s v="ORD1446"/>
    <x v="3"/>
    <s v="Mr. Rahul Sharma"/>
    <x v="0"/>
    <s v="Unknown"/>
    <x v="0"/>
    <s v="Shirt"/>
    <n v="1"/>
    <n v="12999"/>
    <n v="5"/>
    <n v="-500"/>
    <x v="0"/>
    <s v="In Transit"/>
    <n v="14095.292022779067"/>
    <n v="12999"/>
    <s v="02-2024"/>
    <s v="High"/>
  </r>
  <r>
    <s v="ORD1232"/>
    <x v="3"/>
    <s v="Unknown"/>
    <x v="3"/>
    <s v="Maharashtra"/>
    <x v="3"/>
    <s v="Unknown"/>
    <n v="1"/>
    <n v="25999"/>
    <n v="15"/>
    <n v="-500"/>
    <x v="1"/>
    <s v="Cancelled"/>
    <n v="22099.149999999998"/>
    <n v="25999"/>
    <s v="02-2024"/>
    <s v="High"/>
  </r>
  <r>
    <s v="ORD1233"/>
    <x v="1"/>
    <s v="Unknown"/>
    <x v="3"/>
    <s v="Maharashtra"/>
    <x v="1"/>
    <s v="Unknown"/>
    <n v="1"/>
    <n v="7830.7177904328155"/>
    <n v="0"/>
    <n v="0"/>
    <x v="3"/>
    <s v="Unknown"/>
    <n v="7830.7177904328155"/>
    <n v="7830.7177904328155"/>
    <s v="01-1900"/>
    <s v="Normal"/>
  </r>
  <r>
    <s v="ORD1234"/>
    <x v="1"/>
    <s v="Mr. Rahul Sharma"/>
    <x v="3"/>
    <s v="Unknown"/>
    <x v="3"/>
    <s v="Shirt"/>
    <n v="1"/>
    <n v="7830.7177904328155"/>
    <n v="50"/>
    <n v="0"/>
    <x v="0"/>
    <s v="In Transit"/>
    <n v="3915.3588952164077"/>
    <n v="7830.7177904328155"/>
    <s v="01-1900"/>
    <s v="Normal"/>
  </r>
  <r>
    <s v="ORD1235"/>
    <x v="2"/>
    <s v="Mr. Rahul Sharma"/>
    <x v="4"/>
    <s v="Unknown"/>
    <x v="1"/>
    <s v="Mobile"/>
    <n v="3"/>
    <n v="799.5"/>
    <n v="5"/>
    <n v="499.99"/>
    <x v="0"/>
    <s v="Unknown"/>
    <n v="2278.5749999999998"/>
    <n v="2398.5"/>
    <s v="01-2024"/>
    <s v="Normal"/>
  </r>
  <r>
    <s v="ORD1236"/>
    <x v="1"/>
    <s v="Unknown"/>
    <x v="3"/>
    <s v="Unknown"/>
    <x v="3"/>
    <s v="Mobile"/>
    <n v="4"/>
    <n v="499.99"/>
    <n v="10"/>
    <n v="30000"/>
    <x v="2"/>
    <s v="In Transit"/>
    <n v="1799.9640000000002"/>
    <n v="1999.96"/>
    <s v="01-1900"/>
    <s v="Normal"/>
  </r>
  <r>
    <s v="ORD1238"/>
    <x v="2"/>
    <s v="Ms. Ananya Iyer"/>
    <x v="3"/>
    <s v="Unknown"/>
    <x v="3"/>
    <s v="Laptop"/>
    <n v="1"/>
    <n v="7830.7177904328155"/>
    <n v="10"/>
    <n v="0"/>
    <x v="2"/>
    <s v="Unknown"/>
    <n v="7047.6460113895337"/>
    <n v="7830.7177904328155"/>
    <s v="01-2024"/>
    <s v="Normal"/>
  </r>
  <r>
    <s v="ORD1454"/>
    <x v="3"/>
    <s v="Unknown"/>
    <x v="4"/>
    <s v="Unknown"/>
    <x v="1"/>
    <s v="Laptop"/>
    <n v="1"/>
    <n v="12999"/>
    <n v="15"/>
    <n v="30000"/>
    <x v="4"/>
    <s v="In Transit"/>
    <n v="13312.220243735786"/>
    <n v="12999"/>
    <s v="02-2024"/>
    <s v="High"/>
  </r>
  <r>
    <s v="ORD1241"/>
    <x v="1"/>
    <s v="Mr. Rahul Sharma"/>
    <x v="1"/>
    <s v="Karnataka"/>
    <x v="1"/>
    <s v="Chair"/>
    <n v="1"/>
    <n v="7830.7177904328155"/>
    <n v="0"/>
    <n v="499.99"/>
    <x v="2"/>
    <s v="Unknown"/>
    <n v="7830.7177904328155"/>
    <n v="7830.7177904328155"/>
    <s v="01-1900"/>
    <s v="Normal"/>
  </r>
  <r>
    <s v="ORD1242"/>
    <x v="3"/>
    <s v="Dr. John"/>
    <x v="0"/>
    <s v="Unknown"/>
    <x v="0"/>
    <s v="Mobile"/>
    <n v="1"/>
    <n v="7830.7177904328155"/>
    <n v="5"/>
    <n v="30000"/>
    <x v="3"/>
    <s v="Unknown"/>
    <n v="7439.1819009111741"/>
    <n v="7830.7177904328155"/>
    <s v="02-2024"/>
    <s v="Normal"/>
  </r>
  <r>
    <s v="ORD1455"/>
    <x v="3"/>
    <s v="Priya"/>
    <x v="4"/>
    <s v="Unknown"/>
    <x v="3"/>
    <s v="Mobile"/>
    <n v="3"/>
    <n v="25999"/>
    <n v="15"/>
    <n v="30000"/>
    <x v="4"/>
    <s v="In Transit"/>
    <n v="13312.220243735786"/>
    <n v="77997"/>
    <s v="02-2024"/>
    <s v="High"/>
  </r>
  <r>
    <s v="ORD1456"/>
    <x v="3"/>
    <s v="Unknown"/>
    <x v="2"/>
    <s v="Unknown"/>
    <x v="0"/>
    <s v="Laptop"/>
    <n v="4"/>
    <n v="12999"/>
    <n v="0"/>
    <n v="30000"/>
    <x v="3"/>
    <s v="Unknown"/>
    <n v="12999.5"/>
    <n v="51996"/>
    <s v="02-2024"/>
    <s v="High"/>
  </r>
  <r>
    <s v="ORD1478"/>
    <x v="3"/>
    <s v="Dr. John"/>
    <x v="3"/>
    <s v="Unknown"/>
    <x v="1"/>
    <s v="Unknown"/>
    <n v="4"/>
    <n v="12999"/>
    <n v="0"/>
    <n v="30000"/>
    <x v="3"/>
    <s v="Delivered"/>
    <n v="12999"/>
    <n v="51996"/>
    <s v="02-2024"/>
    <s v="High"/>
  </r>
  <r>
    <s v="ORD1498"/>
    <x v="3"/>
    <s v="Ms. Ananya Iyer"/>
    <x v="2"/>
    <s v="Karnataka"/>
    <x v="3"/>
    <s v="Unknown"/>
    <n v="3"/>
    <n v="7830.7177904328155"/>
    <n v="0"/>
    <n v="499.99"/>
    <x v="0"/>
    <s v="Delivered"/>
    <n v="12349.05"/>
    <n v="23492.153371298446"/>
    <s v="02-2024"/>
    <s v="High"/>
  </r>
  <r>
    <s v="ORD1500"/>
    <x v="3"/>
    <s v="Unknown"/>
    <x v="1"/>
    <s v="Maharashtra"/>
    <x v="1"/>
    <s v="Chair"/>
    <n v="2"/>
    <n v="7830.7177904328155"/>
    <n v="15"/>
    <n v="499.99"/>
    <x v="1"/>
    <s v="Unknown"/>
    <n v="12349.05"/>
    <n v="15661.435580865631"/>
    <s v="02-2024"/>
    <s v="High"/>
  </r>
  <r>
    <s v="ORD1512"/>
    <x v="3"/>
    <s v="Dr. John"/>
    <x v="4"/>
    <s v="Tamil Nadu"/>
    <x v="3"/>
    <s v="Shirt"/>
    <n v="3"/>
    <n v="7830.7177904328155"/>
    <n v="0"/>
    <n v="0"/>
    <x v="2"/>
    <s v="Unknown"/>
    <n v="11746.076685649223"/>
    <n v="23492.153371298446"/>
    <s v="02-2024"/>
    <s v="High"/>
  </r>
  <r>
    <s v="ORD1250"/>
    <x v="2"/>
    <s v="Mr. Rahul Sharma"/>
    <x v="1"/>
    <s v="Tamil Nadu"/>
    <x v="1"/>
    <s v="Table"/>
    <n v="1"/>
    <n v="799.5"/>
    <n v="0"/>
    <n v="-500"/>
    <x v="0"/>
    <s v="Cancelled"/>
    <n v="799.5"/>
    <n v="799.5"/>
    <s v="01-2024"/>
    <s v="Normal"/>
  </r>
  <r>
    <s v="ORD1251"/>
    <x v="0"/>
    <s v="Ms. Ananya Iyer"/>
    <x v="2"/>
    <s v="Unknown"/>
    <x v="3"/>
    <s v="Chair"/>
    <n v="1"/>
    <n v="799.5"/>
    <n v="5"/>
    <n v="30000"/>
    <x v="3"/>
    <s v="Delivered"/>
    <n v="759.52499999999998"/>
    <n v="799.5"/>
    <s v="03-2024"/>
    <s v="Normal"/>
  </r>
  <r>
    <s v="ORD1252"/>
    <x v="1"/>
    <s v="Ms. Ananya Iyer"/>
    <x v="2"/>
    <s v="Karnataka"/>
    <x v="3"/>
    <s v="Table"/>
    <n v="1"/>
    <n v="12999"/>
    <n v="50"/>
    <n v="15000"/>
    <x v="1"/>
    <s v="Returned"/>
    <n v="6499.5"/>
    <n v="12999"/>
    <s v="01-1900"/>
    <s v="Normal"/>
  </r>
  <r>
    <s v="ORD1253"/>
    <x v="1"/>
    <s v="Unknown"/>
    <x v="4"/>
    <s v="Unknown"/>
    <x v="3"/>
    <s v="Laptop"/>
    <n v="1"/>
    <n v="7830.7177904328155"/>
    <n v="5"/>
    <n v="499.99"/>
    <x v="2"/>
    <s v="Returned"/>
    <n v="7439.1819009111741"/>
    <n v="7830.7177904328155"/>
    <s v="01-1900"/>
    <s v="Normal"/>
  </r>
  <r>
    <s v="ORD1254"/>
    <x v="1"/>
    <s v="Ms. Ananya Iyer"/>
    <x v="0"/>
    <s v="Tamil Nadu"/>
    <x v="1"/>
    <s v="Unknown"/>
    <n v="1"/>
    <n v="499.99"/>
    <n v="0"/>
    <n v="30000"/>
    <x v="4"/>
    <s v="Unknown"/>
    <n v="499.99"/>
    <n v="499.99"/>
    <s v="01-1900"/>
    <s v="Normal"/>
  </r>
  <r>
    <s v="ORD1255"/>
    <x v="1"/>
    <s v="Priya"/>
    <x v="2"/>
    <s v="Unknown"/>
    <x v="3"/>
    <s v="Unknown"/>
    <n v="1"/>
    <n v="499.99"/>
    <n v="10"/>
    <n v="499.99"/>
    <x v="0"/>
    <s v="In Transit"/>
    <n v="449.99100000000004"/>
    <n v="499.99"/>
    <s v="01-1900"/>
    <s v="Normal"/>
  </r>
  <r>
    <s v="ORD1256"/>
    <x v="1"/>
    <s v="Priya"/>
    <x v="1"/>
    <s v="Tamil Nadu"/>
    <x v="3"/>
    <s v="Unknown"/>
    <n v="1"/>
    <n v="7830.7177904328155"/>
    <n v="5"/>
    <n v="15000"/>
    <x v="3"/>
    <s v="In Transit"/>
    <n v="7439.1819009111741"/>
    <n v="7830.7177904328155"/>
    <s v="01-1900"/>
    <s v="Normal"/>
  </r>
  <r>
    <s v="ORD1257"/>
    <x v="0"/>
    <s v="Mr. Rahul Sharma"/>
    <x v="1"/>
    <s v="Karnataka"/>
    <x v="2"/>
    <s v="Mobile"/>
    <n v="1"/>
    <n v="499.99"/>
    <n v="0"/>
    <n v="30000"/>
    <x v="0"/>
    <s v="In Transit"/>
    <n v="499.99"/>
    <n v="499.99"/>
    <s v="03-2024"/>
    <s v="Normal"/>
  </r>
  <r>
    <s v="ORD1258"/>
    <x v="3"/>
    <s v="Ms. Ananya Iyer"/>
    <x v="3"/>
    <s v="Tamil Nadu"/>
    <x v="2"/>
    <s v="Mobile"/>
    <n v="1"/>
    <n v="7830.7177904328155"/>
    <n v="0"/>
    <n v="0"/>
    <x v="1"/>
    <s v="In Transit"/>
    <n v="7830.7177904328155"/>
    <n v="7830.7177904328155"/>
    <s v="02-2024"/>
    <s v="Normal"/>
  </r>
  <r>
    <s v="ORD1259"/>
    <x v="1"/>
    <s v="Unknown"/>
    <x v="3"/>
    <s v="Tamil Nadu"/>
    <x v="1"/>
    <s v="Mobile"/>
    <n v="4"/>
    <n v="799.5"/>
    <n v="10"/>
    <n v="499.99"/>
    <x v="0"/>
    <s v="Cancelled"/>
    <n v="2878.2000000000003"/>
    <n v="3198"/>
    <s v="01-1900"/>
    <s v="Normal"/>
  </r>
  <r>
    <s v="ORD1260"/>
    <x v="3"/>
    <s v="Mr. Rahul Sharma"/>
    <x v="4"/>
    <s v="Unknown"/>
    <x v="3"/>
    <s v="Table"/>
    <n v="1"/>
    <n v="7830.7177904328155"/>
    <n v="15"/>
    <n v="0"/>
    <x v="2"/>
    <s v="Delivered"/>
    <n v="6656.1101218678932"/>
    <n v="7830.7177904328155"/>
    <s v="02-2024"/>
    <s v="Normal"/>
  </r>
  <r>
    <s v="ORD1261"/>
    <x v="2"/>
    <s v="Priya"/>
    <x v="3"/>
    <s v="Maharashtra"/>
    <x v="1"/>
    <s v="Mobile"/>
    <n v="4"/>
    <n v="499.99"/>
    <n v="10"/>
    <n v="0"/>
    <x v="0"/>
    <s v="In Transit"/>
    <n v="1799.9640000000002"/>
    <n v="1999.96"/>
    <s v="01-2024"/>
    <s v="Normal"/>
  </r>
  <r>
    <s v="ORD1262"/>
    <x v="2"/>
    <s v="Unknown"/>
    <x v="2"/>
    <s v="Tamil Nadu"/>
    <x v="0"/>
    <s v="Table"/>
    <n v="1"/>
    <n v="7830.7177904328155"/>
    <n v="15"/>
    <n v="0"/>
    <x v="0"/>
    <s v="Unknown"/>
    <n v="6656.1101218678932"/>
    <n v="7830.7177904328155"/>
    <s v="01-2024"/>
    <s v="Normal"/>
  </r>
  <r>
    <s v="ORD1526"/>
    <x v="3"/>
    <s v="Priya"/>
    <x v="0"/>
    <s v="Maharashtra"/>
    <x v="2"/>
    <s v="Laptop"/>
    <n v="1"/>
    <n v="25999"/>
    <n v="10"/>
    <n v="-500"/>
    <x v="0"/>
    <s v="Unknown"/>
    <n v="11699.1"/>
    <n v="25999"/>
    <s v="02-2024"/>
    <s v="High"/>
  </r>
  <r>
    <s v="ORD1264"/>
    <x v="2"/>
    <s v="Priya"/>
    <x v="0"/>
    <s v="Tamil Nadu"/>
    <x v="3"/>
    <s v="Laptop"/>
    <n v="1"/>
    <n v="499.99"/>
    <n v="0"/>
    <n v="499.99"/>
    <x v="0"/>
    <s v="Delivered"/>
    <n v="499.99"/>
    <n v="499.99"/>
    <s v="01-2024"/>
    <s v="Normal"/>
  </r>
  <r>
    <s v="ORD1528"/>
    <x v="3"/>
    <s v="Unknown"/>
    <x v="4"/>
    <s v="Karnataka"/>
    <x v="2"/>
    <s v="Laptop"/>
    <n v="4"/>
    <n v="7830.7177904328155"/>
    <n v="5"/>
    <n v="499.99"/>
    <x v="3"/>
    <s v="Delivered"/>
    <n v="11699.1"/>
    <n v="31322.871161731262"/>
    <s v="02-2024"/>
    <s v="High"/>
  </r>
  <r>
    <s v="ORD1266"/>
    <x v="2"/>
    <s v="Mr. Rahul Sharma"/>
    <x v="3"/>
    <s v="Tamil Nadu"/>
    <x v="3"/>
    <s v="Table"/>
    <n v="1"/>
    <n v="7830.7177904328155"/>
    <n v="10"/>
    <n v="0"/>
    <x v="4"/>
    <s v="Unknown"/>
    <n v="7047.6460113895337"/>
    <n v="7830.7177904328155"/>
    <s v="01-2024"/>
    <s v="Normal"/>
  </r>
  <r>
    <s v="ORD1267"/>
    <x v="3"/>
    <s v="Priya"/>
    <x v="3"/>
    <s v="Unknown"/>
    <x v="2"/>
    <s v="Chair"/>
    <n v="3"/>
    <n v="499.99"/>
    <n v="50"/>
    <n v="0"/>
    <x v="0"/>
    <s v="Unknown"/>
    <n v="749.98500000000001"/>
    <n v="1499.97"/>
    <s v="02-2024"/>
    <s v="Normal"/>
  </r>
  <r>
    <s v="ORD1268"/>
    <x v="3"/>
    <s v="Unknown"/>
    <x v="4"/>
    <s v="Unknown"/>
    <x v="1"/>
    <s v="Table"/>
    <n v="3"/>
    <n v="799.5"/>
    <n v="5"/>
    <n v="0"/>
    <x v="2"/>
    <s v="Delivered"/>
    <n v="2278.5749999999998"/>
    <n v="2398.5"/>
    <s v="02-2024"/>
    <s v="Normal"/>
  </r>
  <r>
    <s v="ORD1269"/>
    <x v="1"/>
    <s v="Unknown"/>
    <x v="4"/>
    <s v="Unknown"/>
    <x v="3"/>
    <s v="Unknown"/>
    <n v="3"/>
    <n v="7830.7177904328155"/>
    <n v="50"/>
    <n v="-500"/>
    <x v="4"/>
    <s v="Cancelled"/>
    <n v="11746.076685649223"/>
    <n v="23492.153371298446"/>
    <s v="01-1900"/>
    <s v="High"/>
  </r>
  <r>
    <s v="ORD1270"/>
    <x v="3"/>
    <s v="Mr. Rahul Sharma"/>
    <x v="1"/>
    <s v="Maharashtra"/>
    <x v="0"/>
    <s v="Laptop"/>
    <n v="1"/>
    <n v="7830.7177904328155"/>
    <n v="5"/>
    <n v="499.99"/>
    <x v="2"/>
    <s v="In Transit"/>
    <n v="7439.1819009111741"/>
    <n v="7830.7177904328155"/>
    <s v="02-2024"/>
    <s v="Normal"/>
  </r>
  <r>
    <s v="ORD1535"/>
    <x v="3"/>
    <s v="Dr. John"/>
    <x v="4"/>
    <s v="Tamil Nadu"/>
    <x v="3"/>
    <s v="Mobile"/>
    <n v="4"/>
    <n v="7830.7177904328155"/>
    <n v="0"/>
    <n v="15000"/>
    <x v="2"/>
    <s v="Delivered"/>
    <n v="11049.15"/>
    <n v="31322.871161731262"/>
    <s v="02-2024"/>
    <s v="High"/>
  </r>
  <r>
    <s v="ORD1272"/>
    <x v="2"/>
    <s v="Unknown"/>
    <x v="2"/>
    <s v="Karnataka"/>
    <x v="2"/>
    <s v="Table"/>
    <n v="2"/>
    <n v="7830.7177904328155"/>
    <n v="50"/>
    <n v="499.99"/>
    <x v="2"/>
    <s v="Delivered"/>
    <n v="7830.7177904328155"/>
    <n v="15661.435580865631"/>
    <s v="01-2024"/>
    <s v="Normal"/>
  </r>
  <r>
    <s v="ORD1543"/>
    <x v="3"/>
    <s v="Unknown"/>
    <x v="3"/>
    <s v="Tamil Nadu"/>
    <x v="3"/>
    <s v="Unknown"/>
    <n v="1"/>
    <n v="12999"/>
    <n v="15"/>
    <n v="0"/>
    <x v="0"/>
    <s v="Returned"/>
    <n v="11049.15"/>
    <n v="12999"/>
    <s v="02-2024"/>
    <s v="High"/>
  </r>
  <r>
    <s v="ORD1547"/>
    <x v="3"/>
    <s v="Unknown"/>
    <x v="1"/>
    <s v="Unknown"/>
    <x v="1"/>
    <s v="Mobile"/>
    <n v="1"/>
    <n v="12999"/>
    <n v="0"/>
    <n v="499.99"/>
    <x v="0"/>
    <s v="Unknown"/>
    <n v="11049.15"/>
    <n v="12999"/>
    <s v="02-2024"/>
    <s v="High"/>
  </r>
  <r>
    <s v="ORD1275"/>
    <x v="0"/>
    <s v="Unknown"/>
    <x v="3"/>
    <s v="Unknown"/>
    <x v="3"/>
    <s v="Table"/>
    <n v="1"/>
    <n v="499.99"/>
    <n v="0"/>
    <n v="0"/>
    <x v="2"/>
    <s v="Returned"/>
    <n v="499.99"/>
    <n v="499.99"/>
    <s v="03-2024"/>
    <s v="Normal"/>
  </r>
  <r>
    <s v="ORD1276"/>
    <x v="1"/>
    <s v="Unknown"/>
    <x v="3"/>
    <s v="Tamil Nadu"/>
    <x v="3"/>
    <s v="Table"/>
    <n v="1"/>
    <n v="799.5"/>
    <n v="0"/>
    <n v="15000"/>
    <x v="4"/>
    <s v="Returned"/>
    <n v="799.5"/>
    <n v="799.5"/>
    <s v="01-1900"/>
    <s v="Normal"/>
  </r>
  <r>
    <s v="ORD1277"/>
    <x v="0"/>
    <s v="Ms. Ananya Iyer"/>
    <x v="3"/>
    <s v="Karnataka"/>
    <x v="1"/>
    <s v="Unknown"/>
    <n v="3"/>
    <n v="799.5"/>
    <n v="50"/>
    <n v="499.99"/>
    <x v="1"/>
    <s v="Returned"/>
    <n v="1199.25"/>
    <n v="2398.5"/>
    <s v="03-2024"/>
    <s v="Normal"/>
  </r>
  <r>
    <s v="ORD1049"/>
    <x v="2"/>
    <s v="Unknown"/>
    <x v="1"/>
    <s v="Tamil Nadu"/>
    <x v="1"/>
    <s v="Unknown"/>
    <n v="3"/>
    <n v="12999"/>
    <n v="5"/>
    <n v="499.99"/>
    <x v="2"/>
    <s v="Unknown"/>
    <n v="77997"/>
    <n v="38997"/>
    <s v="01-2024"/>
    <s v="High"/>
  </r>
  <r>
    <s v="ORD1062"/>
    <x v="2"/>
    <s v="Priya"/>
    <x v="2"/>
    <s v="Karnataka"/>
    <x v="3"/>
    <s v="Unknown"/>
    <n v="1"/>
    <n v="25999"/>
    <n v="0"/>
    <n v="30000"/>
    <x v="2"/>
    <s v="Unknown"/>
    <n v="66297.45"/>
    <n v="25999"/>
    <s v="01-2024"/>
    <s v="High"/>
  </r>
  <r>
    <s v="ORD1280"/>
    <x v="1"/>
    <s v="Unknown"/>
    <x v="2"/>
    <s v="Karnataka"/>
    <x v="1"/>
    <s v="Laptop"/>
    <n v="4"/>
    <n v="799.5"/>
    <n v="15"/>
    <n v="30000"/>
    <x v="3"/>
    <s v="In Transit"/>
    <n v="2718.2999999999997"/>
    <n v="3198"/>
    <s v="01-1900"/>
    <s v="Normal"/>
  </r>
  <r>
    <s v="ORD1281"/>
    <x v="1"/>
    <s v="Ms. Ananya Iyer"/>
    <x v="4"/>
    <s v="Tamil Nadu"/>
    <x v="2"/>
    <s v="Shirt"/>
    <n v="1"/>
    <n v="799.5"/>
    <n v="0"/>
    <n v="0"/>
    <x v="1"/>
    <s v="Unknown"/>
    <n v="799.5"/>
    <n v="799.5"/>
    <s v="01-1900"/>
    <s v="Normal"/>
  </r>
  <r>
    <s v="ORD1282"/>
    <x v="1"/>
    <s v="Mr. Rahul Sharma"/>
    <x v="1"/>
    <s v="Unknown"/>
    <x v="3"/>
    <s v="Chair"/>
    <n v="4"/>
    <n v="25999"/>
    <n v="15"/>
    <n v="0"/>
    <x v="1"/>
    <s v="Cancelled"/>
    <n v="88396.599999999991"/>
    <n v="103996"/>
    <s v="01-1900"/>
    <s v="High"/>
  </r>
  <r>
    <s v="ORD1063"/>
    <x v="2"/>
    <s v="Mr. Rahul Sharma"/>
    <x v="4"/>
    <s v="Karnataka"/>
    <x v="0"/>
    <s v="Unknown"/>
    <n v="1"/>
    <n v="25999"/>
    <n v="50"/>
    <n v="0"/>
    <x v="2"/>
    <s v="Unknown"/>
    <n v="51998"/>
    <n v="25999"/>
    <s v="01-2024"/>
    <s v="High"/>
  </r>
  <r>
    <s v="ORD1284"/>
    <x v="1"/>
    <s v="Unknown"/>
    <x v="0"/>
    <s v="Maharashtra"/>
    <x v="2"/>
    <s v="Laptop"/>
    <n v="1"/>
    <n v="499.99"/>
    <n v="0"/>
    <n v="0"/>
    <x v="2"/>
    <s v="Unknown"/>
    <n v="499.99"/>
    <n v="499.99"/>
    <s v="01-1900"/>
    <s v="Normal"/>
  </r>
  <r>
    <s v="ORD1064"/>
    <x v="2"/>
    <s v="Ms. Ananya Iyer"/>
    <x v="4"/>
    <s v="Maharashtra"/>
    <x v="2"/>
    <s v="Unknown"/>
    <n v="1"/>
    <n v="25999"/>
    <n v="50"/>
    <n v="499.99"/>
    <x v="0"/>
    <s v="Unknown"/>
    <n v="51998"/>
    <n v="25999"/>
    <s v="01-2024"/>
    <s v="High"/>
  </r>
  <r>
    <s v="ORD1073"/>
    <x v="2"/>
    <s v="Mr. Rahul Sharma"/>
    <x v="4"/>
    <s v="Tamil Nadu"/>
    <x v="2"/>
    <s v="Laptop"/>
    <n v="4"/>
    <n v="12999"/>
    <n v="10"/>
    <n v="0"/>
    <x v="0"/>
    <s v="In Transit"/>
    <n v="51996"/>
    <n v="51996"/>
    <s v="01-2024"/>
    <s v="High"/>
  </r>
  <r>
    <s v="ORD1087"/>
    <x v="2"/>
    <s v="Mr. Rahul Sharma"/>
    <x v="1"/>
    <s v="Tamil Nadu"/>
    <x v="0"/>
    <s v="Shirt"/>
    <n v="1"/>
    <n v="12999"/>
    <n v="10"/>
    <n v="499.99"/>
    <x v="0"/>
    <s v="Unknown"/>
    <n v="51996"/>
    <n v="12999"/>
    <s v="01-2024"/>
    <s v="High"/>
  </r>
  <r>
    <s v="ORD1102"/>
    <x v="2"/>
    <s v="Unknown"/>
    <x v="4"/>
    <s v="Karnataka"/>
    <x v="3"/>
    <s v="Shirt"/>
    <n v="2"/>
    <n v="12999"/>
    <n v="5"/>
    <n v="0"/>
    <x v="2"/>
    <s v="Unknown"/>
    <n v="46798.200000000004"/>
    <n v="25998"/>
    <s v="01-2024"/>
    <s v="High"/>
  </r>
  <r>
    <s v="ORD1159"/>
    <x v="2"/>
    <s v="Unknown"/>
    <x v="4"/>
    <s v="Karnataka"/>
    <x v="2"/>
    <s v="Shirt"/>
    <n v="4"/>
    <n v="12999"/>
    <n v="0"/>
    <n v="15000"/>
    <x v="3"/>
    <s v="Unknown"/>
    <n v="31322.871161731262"/>
    <n v="51996"/>
    <s v="01-2024"/>
    <s v="High"/>
  </r>
  <r>
    <s v="ORD1162"/>
    <x v="2"/>
    <s v="Ms. Ananya Iyer"/>
    <x v="4"/>
    <s v="Tamil Nadu"/>
    <x v="3"/>
    <s v="Mobile"/>
    <n v="3"/>
    <n v="25999"/>
    <n v="50"/>
    <n v="15000"/>
    <x v="0"/>
    <s v="Unknown"/>
    <n v="31322.871161731262"/>
    <n v="77997"/>
    <s v="01-2024"/>
    <s v="High"/>
  </r>
  <r>
    <s v="ORD1293"/>
    <x v="1"/>
    <s v="Ms. Ananya Iyer"/>
    <x v="2"/>
    <s v="Unknown"/>
    <x v="0"/>
    <s v="Mobile"/>
    <n v="2"/>
    <n v="799.5"/>
    <n v="0"/>
    <n v="0"/>
    <x v="3"/>
    <s v="Returned"/>
    <n v="1599"/>
    <n v="1599"/>
    <s v="01-1900"/>
    <s v="Normal"/>
  </r>
  <r>
    <s v="ORD1294"/>
    <x v="1"/>
    <s v="Mr. Rahul Sharma"/>
    <x v="1"/>
    <s v="Maharashtra"/>
    <x v="2"/>
    <s v="Shirt"/>
    <n v="1"/>
    <n v="799.5"/>
    <n v="10"/>
    <n v="30000"/>
    <x v="1"/>
    <s v="Returned"/>
    <n v="719.55000000000007"/>
    <n v="799.5"/>
    <s v="01-1900"/>
    <s v="Normal"/>
  </r>
  <r>
    <s v="ORD1295"/>
    <x v="3"/>
    <s v="Unknown"/>
    <x v="1"/>
    <s v="Unknown"/>
    <x v="3"/>
    <s v="Mobile"/>
    <n v="4"/>
    <n v="799.5"/>
    <n v="5"/>
    <n v="30000"/>
    <x v="3"/>
    <s v="In Transit"/>
    <n v="3038.1"/>
    <n v="3198"/>
    <s v="02-2024"/>
    <s v="Normal"/>
  </r>
  <r>
    <s v="ORD1296"/>
    <x v="1"/>
    <s v="Ms. Ananya Iyer"/>
    <x v="0"/>
    <s v="Unknown"/>
    <x v="2"/>
    <s v="Shirt"/>
    <n v="2"/>
    <n v="7830.7177904328155"/>
    <n v="0"/>
    <n v="15000"/>
    <x v="1"/>
    <s v="Cancelled"/>
    <n v="15661.435580865631"/>
    <n v="15661.435580865631"/>
    <s v="01-1900"/>
    <s v="High"/>
  </r>
  <r>
    <s v="ORD1210"/>
    <x v="2"/>
    <s v="Unknown"/>
    <x v="2"/>
    <s v="Karnataka"/>
    <x v="3"/>
    <s v="Mobile"/>
    <n v="2"/>
    <n v="12999"/>
    <n v="5"/>
    <n v="0"/>
    <x v="3"/>
    <s v="Unknown"/>
    <n v="25999"/>
    <n v="25998"/>
    <s v="01-2024"/>
    <s v="High"/>
  </r>
  <r>
    <s v="ORD1215"/>
    <x v="2"/>
    <s v="Dr. John"/>
    <x v="3"/>
    <s v="Unknown"/>
    <x v="1"/>
    <s v="Table"/>
    <n v="1"/>
    <n v="25999"/>
    <n v="0"/>
    <n v="30000"/>
    <x v="0"/>
    <s v="Returned"/>
    <n v="25999"/>
    <n v="25999"/>
    <s v="01-2024"/>
    <s v="High"/>
  </r>
  <r>
    <s v="ORD1249"/>
    <x v="2"/>
    <s v="Unknown"/>
    <x v="2"/>
    <s v="Unknown"/>
    <x v="3"/>
    <s v="Mobile"/>
    <n v="3"/>
    <n v="25999"/>
    <n v="50"/>
    <n v="0"/>
    <x v="1"/>
    <s v="Returned"/>
    <n v="25998"/>
    <n v="77997"/>
    <s v="01-2024"/>
    <s v="High"/>
  </r>
  <r>
    <s v="ORD1300"/>
    <x v="1"/>
    <s v="Unknown"/>
    <x v="2"/>
    <s v="Karnataka"/>
    <x v="1"/>
    <s v="Chair"/>
    <n v="1"/>
    <n v="7830.7177904328155"/>
    <n v="10"/>
    <n v="30000"/>
    <x v="2"/>
    <s v="Unknown"/>
    <n v="7047.6460113895337"/>
    <n v="7830.7177904328155"/>
    <s v="01-1900"/>
    <s v="Normal"/>
  </r>
  <r>
    <s v="ORD1301"/>
    <x v="3"/>
    <s v="Priya"/>
    <x v="1"/>
    <s v="Unknown"/>
    <x v="1"/>
    <s v="Chair"/>
    <n v="1"/>
    <n v="499.99"/>
    <n v="50"/>
    <n v="0"/>
    <x v="1"/>
    <s v="In Transit"/>
    <n v="249.995"/>
    <n v="499.99"/>
    <s v="02-2024"/>
    <s v="Normal"/>
  </r>
  <r>
    <s v="ORD1302"/>
    <x v="3"/>
    <s v="Unknown"/>
    <x v="2"/>
    <s v="Unknown"/>
    <x v="1"/>
    <s v="Mobile"/>
    <n v="1"/>
    <n v="7830.7177904328155"/>
    <n v="0"/>
    <n v="0"/>
    <x v="1"/>
    <s v="In Transit"/>
    <n v="7830.7177904328155"/>
    <n v="7830.7177904328155"/>
    <s v="02-2024"/>
    <s v="Normal"/>
  </r>
  <r>
    <s v="ORD1303"/>
    <x v="1"/>
    <s v="Ms. Ananya Iyer"/>
    <x v="1"/>
    <s v="Maharashtra"/>
    <x v="1"/>
    <s v="Chair"/>
    <n v="1"/>
    <n v="7830.7177904328155"/>
    <n v="5"/>
    <n v="-500"/>
    <x v="0"/>
    <s v="Unknown"/>
    <n v="7439.1819009111741"/>
    <n v="7830.7177904328155"/>
    <s v="01-1900"/>
    <s v="Normal"/>
  </r>
  <r>
    <s v="ORD1304"/>
    <x v="1"/>
    <s v="Mr. Rahul Sharma"/>
    <x v="2"/>
    <s v="Unknown"/>
    <x v="3"/>
    <s v="Laptop"/>
    <n v="1"/>
    <n v="25999"/>
    <n v="5"/>
    <n v="-500"/>
    <x v="0"/>
    <s v="Cancelled"/>
    <n v="24699.05"/>
    <n v="25999"/>
    <s v="01-1900"/>
    <s v="High"/>
  </r>
  <r>
    <s v="ORD1305"/>
    <x v="3"/>
    <s v="Mr. Rahul Sharma"/>
    <x v="0"/>
    <s v="Maharashtra"/>
    <x v="1"/>
    <s v="Chair"/>
    <n v="1"/>
    <n v="7830.7177904328155"/>
    <n v="0"/>
    <n v="30000"/>
    <x v="2"/>
    <s v="Delivered"/>
    <n v="7830.7177904328155"/>
    <n v="7830.7177904328155"/>
    <s v="02-2024"/>
    <s v="Normal"/>
  </r>
  <r>
    <s v="ORD1306"/>
    <x v="2"/>
    <s v="Unknown"/>
    <x v="3"/>
    <s v="Karnataka"/>
    <x v="0"/>
    <s v="Chair"/>
    <n v="2"/>
    <n v="799.5"/>
    <n v="0"/>
    <n v="30000"/>
    <x v="0"/>
    <s v="Unknown"/>
    <n v="1599"/>
    <n v="1599"/>
    <s v="01-2024"/>
    <s v="Normal"/>
  </r>
  <r>
    <s v="ORD1307"/>
    <x v="2"/>
    <s v="Unknown"/>
    <x v="4"/>
    <s v="Unknown"/>
    <x v="3"/>
    <s v="Unknown"/>
    <n v="1"/>
    <n v="7830.7177904328155"/>
    <n v="0"/>
    <n v="-500"/>
    <x v="0"/>
    <s v="Cancelled"/>
    <n v="7830.7177904328155"/>
    <n v="7830.7177904328155"/>
    <s v="01-2024"/>
    <s v="Normal"/>
  </r>
  <r>
    <s v="ORD1308"/>
    <x v="1"/>
    <s v="Mr. Rahul Sharma"/>
    <x v="2"/>
    <s v="Unknown"/>
    <x v="1"/>
    <s v="Laptop"/>
    <n v="3"/>
    <n v="799.5"/>
    <n v="5"/>
    <n v="0"/>
    <x v="2"/>
    <s v="In Transit"/>
    <n v="2278.5749999999998"/>
    <n v="2398.5"/>
    <s v="01-1900"/>
    <s v="Normal"/>
  </r>
  <r>
    <s v="ORD1310"/>
    <x v="1"/>
    <s v="Unknown"/>
    <x v="2"/>
    <s v="Tamil Nadu"/>
    <x v="2"/>
    <s v="Shirt"/>
    <n v="1"/>
    <n v="799.5"/>
    <n v="50"/>
    <n v="-500"/>
    <x v="4"/>
    <s v="In Transit"/>
    <n v="399.75"/>
    <n v="799.5"/>
    <s v="01-1900"/>
    <s v="Normal"/>
  </r>
  <r>
    <s v="ORD1311"/>
    <x v="2"/>
    <s v="Ms. Ananya Iyer"/>
    <x v="3"/>
    <s v="Maharashtra"/>
    <x v="2"/>
    <s v="Chair"/>
    <n v="2"/>
    <n v="499.99"/>
    <n v="15"/>
    <n v="-500"/>
    <x v="3"/>
    <s v="Delivered"/>
    <n v="849.98299999999995"/>
    <n v="999.98"/>
    <s v="01-2024"/>
    <s v="Normal"/>
  </r>
  <r>
    <s v="ORD1312"/>
    <x v="1"/>
    <s v="Ms. Ananya Iyer"/>
    <x v="2"/>
    <s v="Tamil Nadu"/>
    <x v="3"/>
    <s v="Shirt"/>
    <n v="3"/>
    <n v="499.99"/>
    <n v="0"/>
    <n v="15000"/>
    <x v="1"/>
    <s v="Cancelled"/>
    <n v="1499.97"/>
    <n v="1499.97"/>
    <s v="01-1900"/>
    <s v="Normal"/>
  </r>
  <r>
    <s v="ORD1313"/>
    <x v="1"/>
    <s v="Mr. Rahul Sharma"/>
    <x v="4"/>
    <s v="Unknown"/>
    <x v="3"/>
    <s v="Laptop"/>
    <n v="3"/>
    <n v="499.99"/>
    <n v="50"/>
    <n v="0"/>
    <x v="0"/>
    <s v="Unknown"/>
    <n v="749.98500000000001"/>
    <n v="1499.97"/>
    <s v="01-1900"/>
    <s v="Normal"/>
  </r>
  <r>
    <s v="ORD1292"/>
    <x v="2"/>
    <s v="Unknown"/>
    <x v="1"/>
    <s v="Karnataka"/>
    <x v="0"/>
    <s v="Mobile"/>
    <n v="3"/>
    <n v="7830.7177904328155"/>
    <n v="15"/>
    <n v="0"/>
    <x v="3"/>
    <s v="Delivered"/>
    <n v="23492.153371298446"/>
    <n v="23492.153371298446"/>
    <s v="01-2024"/>
    <s v="High"/>
  </r>
  <r>
    <s v="ORD1315"/>
    <x v="3"/>
    <s v="Unknown"/>
    <x v="0"/>
    <s v="Maharashtra"/>
    <x v="1"/>
    <s v="Mobile"/>
    <n v="1"/>
    <n v="499.99"/>
    <n v="10"/>
    <n v="30000"/>
    <x v="0"/>
    <s v="In Transit"/>
    <n v="449.99100000000004"/>
    <n v="499.99"/>
    <s v="02-2024"/>
    <s v="Normal"/>
  </r>
  <r>
    <s v="ORD1316"/>
    <x v="1"/>
    <s v="Mr. Rahul Sharma"/>
    <x v="2"/>
    <s v="Karnataka"/>
    <x v="2"/>
    <s v="Table"/>
    <n v="3"/>
    <n v="799.5"/>
    <n v="5"/>
    <n v="0"/>
    <x v="2"/>
    <s v="Unknown"/>
    <n v="2278.5749999999998"/>
    <n v="2398.5"/>
    <s v="01-1900"/>
    <s v="Normal"/>
  </r>
  <r>
    <s v="ORD1298"/>
    <x v="2"/>
    <s v="Unknown"/>
    <x v="2"/>
    <s v="Tamil Nadu"/>
    <x v="3"/>
    <s v="Table"/>
    <n v="3"/>
    <n v="7830.7177904328155"/>
    <n v="0"/>
    <n v="-500"/>
    <x v="1"/>
    <s v="Unknown"/>
    <n v="23492.153371298446"/>
    <n v="23492.153371298446"/>
    <s v="01-2024"/>
    <s v="High"/>
  </r>
  <r>
    <s v="ORD1331"/>
    <x v="2"/>
    <s v="Unknown"/>
    <x v="3"/>
    <s v="Unknown"/>
    <x v="1"/>
    <s v="Unknown"/>
    <n v="4"/>
    <n v="12999"/>
    <n v="0"/>
    <n v="15000"/>
    <x v="4"/>
    <s v="Unknown"/>
    <n v="23399.100000000002"/>
    <n v="51996"/>
    <s v="01-2024"/>
    <s v="High"/>
  </r>
  <r>
    <s v="ORD1320"/>
    <x v="3"/>
    <s v="Mr. Rahul Sharma"/>
    <x v="4"/>
    <s v="Karnataka"/>
    <x v="1"/>
    <s v="Laptop"/>
    <n v="1"/>
    <n v="799.5"/>
    <n v="50"/>
    <n v="0"/>
    <x v="0"/>
    <s v="Returned"/>
    <n v="399.75"/>
    <n v="799.5"/>
    <s v="02-2024"/>
    <s v="Normal"/>
  </r>
  <r>
    <s v="ORD1321"/>
    <x v="2"/>
    <s v="Priya"/>
    <x v="4"/>
    <s v="Unknown"/>
    <x v="2"/>
    <s v="Laptop"/>
    <n v="1"/>
    <n v="799.5"/>
    <n v="5"/>
    <n v="30000"/>
    <x v="2"/>
    <s v="Unknown"/>
    <n v="759.52499999999998"/>
    <n v="799.5"/>
    <s v="01-2024"/>
    <s v="Normal"/>
  </r>
  <r>
    <s v="ORD1322"/>
    <x v="0"/>
    <s v="Unknown"/>
    <x v="1"/>
    <s v="Karnataka"/>
    <x v="2"/>
    <s v="Unknown"/>
    <n v="4"/>
    <n v="499.99"/>
    <n v="10"/>
    <n v="-500"/>
    <x v="1"/>
    <s v="Returned"/>
    <n v="1799.9640000000002"/>
    <n v="1999.96"/>
    <s v="03-2024"/>
    <s v="Normal"/>
  </r>
  <r>
    <s v="ORD1323"/>
    <x v="1"/>
    <s v="Unknown"/>
    <x v="0"/>
    <s v="Unknown"/>
    <x v="1"/>
    <s v="Unknown"/>
    <n v="4"/>
    <n v="499.99"/>
    <n v="15"/>
    <n v="-500"/>
    <x v="0"/>
    <s v="Delivered"/>
    <n v="1699.9659999999999"/>
    <n v="1999.96"/>
    <s v="01-1900"/>
    <s v="Normal"/>
  </r>
  <r>
    <s v="ORD1337"/>
    <x v="2"/>
    <s v="Dr. John"/>
    <x v="2"/>
    <s v="Tamil Nadu"/>
    <x v="1"/>
    <s v="Shirt"/>
    <n v="2"/>
    <n v="25999"/>
    <n v="15"/>
    <n v="0"/>
    <x v="0"/>
    <s v="Delivered"/>
    <n v="23398.2"/>
    <n v="51998"/>
    <s v="01-2024"/>
    <s v="High"/>
  </r>
  <r>
    <s v="ORD1361"/>
    <x v="2"/>
    <s v="Mr. Rahul Sharma"/>
    <x v="0"/>
    <s v="Tamil Nadu"/>
    <x v="3"/>
    <s v="Table"/>
    <n v="2"/>
    <n v="7830.7177904328155"/>
    <n v="0"/>
    <n v="0"/>
    <x v="2"/>
    <s v="Delivered"/>
    <n v="22099.149999999998"/>
    <n v="15661.435580865631"/>
    <s v="01-2024"/>
    <s v="High"/>
  </r>
  <r>
    <s v="ORD1327"/>
    <x v="1"/>
    <s v="Mr. Rahul Sharma"/>
    <x v="1"/>
    <s v="Maharashtra"/>
    <x v="1"/>
    <s v="Table"/>
    <n v="1"/>
    <n v="799.5"/>
    <n v="5"/>
    <n v="499.99"/>
    <x v="3"/>
    <s v="Unknown"/>
    <n v="759.52499999999998"/>
    <n v="799.5"/>
    <s v="01-1900"/>
    <s v="Normal"/>
  </r>
  <r>
    <s v="ORD1398"/>
    <x v="2"/>
    <s v="Unknown"/>
    <x v="4"/>
    <s v="Unknown"/>
    <x v="3"/>
    <s v="Laptop"/>
    <n v="2"/>
    <n v="7830.7177904328155"/>
    <n v="0"/>
    <n v="-500"/>
    <x v="2"/>
    <s v="Returned"/>
    <n v="19968.330365603677"/>
    <n v="15661.435580865631"/>
    <s v="01-2024"/>
    <s v="High"/>
  </r>
  <r>
    <s v="ORD1329"/>
    <x v="0"/>
    <s v="Unknown"/>
    <x v="4"/>
    <s v="Maharashtra"/>
    <x v="3"/>
    <s v="Unknown"/>
    <n v="1"/>
    <n v="799.5"/>
    <n v="10"/>
    <n v="15000"/>
    <x v="1"/>
    <s v="Unknown"/>
    <n v="719.55000000000007"/>
    <n v="799.5"/>
    <s v="03-2024"/>
    <s v="Normal"/>
  </r>
  <r>
    <s v="ORD1330"/>
    <x v="3"/>
    <s v="Unknown"/>
    <x v="0"/>
    <s v="Karnataka"/>
    <x v="1"/>
    <s v="Mobile"/>
    <n v="1"/>
    <n v="7830.7177904328155"/>
    <n v="0"/>
    <n v="0"/>
    <x v="1"/>
    <s v="Unknown"/>
    <n v="7830.7177904328155"/>
    <n v="7830.7177904328155"/>
    <s v="02-2024"/>
    <s v="Normal"/>
  </r>
  <r>
    <s v="ORD1422"/>
    <x v="2"/>
    <s v="Ms. Ananya Iyer"/>
    <x v="3"/>
    <s v="Unknown"/>
    <x v="3"/>
    <s v="Table"/>
    <n v="2"/>
    <n v="12999"/>
    <n v="10"/>
    <n v="-500"/>
    <x v="2"/>
    <s v="Returned"/>
    <n v="15661.435580865631"/>
    <n v="25998"/>
    <s v="01-2024"/>
    <s v="High"/>
  </r>
  <r>
    <s v="ORD1332"/>
    <x v="1"/>
    <s v="Unknown"/>
    <x v="3"/>
    <s v="Unknown"/>
    <x v="3"/>
    <s v="Unknown"/>
    <n v="1"/>
    <n v="499.99"/>
    <n v="0"/>
    <n v="30000"/>
    <x v="0"/>
    <s v="Cancelled"/>
    <n v="499.99"/>
    <n v="499.99"/>
    <s v="01-1900"/>
    <s v="Normal"/>
  </r>
  <r>
    <s v="ORD1333"/>
    <x v="0"/>
    <s v="Unknown"/>
    <x v="3"/>
    <s v="Unknown"/>
    <x v="3"/>
    <s v="Chair"/>
    <n v="1"/>
    <n v="799.5"/>
    <n v="15"/>
    <n v="0"/>
    <x v="2"/>
    <s v="Delivered"/>
    <n v="679.57499999999993"/>
    <n v="799.5"/>
    <s v="03-2024"/>
    <s v="Normal"/>
  </r>
  <r>
    <s v="ORD1334"/>
    <x v="1"/>
    <s v="Unknown"/>
    <x v="1"/>
    <s v="Tamil Nadu"/>
    <x v="3"/>
    <s v="Table"/>
    <n v="2"/>
    <n v="799.5"/>
    <n v="10"/>
    <n v="15000"/>
    <x v="0"/>
    <s v="Returned"/>
    <n v="1439.1000000000001"/>
    <n v="1599"/>
    <s v="01-1900"/>
    <s v="Normal"/>
  </r>
  <r>
    <s v="ORD1335"/>
    <x v="3"/>
    <s v="Unknown"/>
    <x v="2"/>
    <s v="Unknown"/>
    <x v="3"/>
    <s v="Unknown"/>
    <n v="2"/>
    <n v="799.5"/>
    <n v="5"/>
    <n v="-500"/>
    <x v="0"/>
    <s v="Returned"/>
    <n v="1519.05"/>
    <n v="1599"/>
    <s v="02-2024"/>
    <s v="Normal"/>
  </r>
  <r>
    <s v="ORD1336"/>
    <x v="3"/>
    <s v="Dr. John"/>
    <x v="4"/>
    <s v="Unknown"/>
    <x v="0"/>
    <s v="Unknown"/>
    <n v="1"/>
    <n v="499.99"/>
    <n v="0"/>
    <n v="0"/>
    <x v="2"/>
    <s v="Cancelled"/>
    <n v="499.99"/>
    <n v="499.99"/>
    <s v="02-2024"/>
    <s v="Normal"/>
  </r>
  <r>
    <s v="ORD1426"/>
    <x v="2"/>
    <s v="Dr. John"/>
    <x v="2"/>
    <s v="Maharashtra"/>
    <x v="3"/>
    <s v="Laptop"/>
    <n v="2"/>
    <n v="25999"/>
    <n v="50"/>
    <n v="499.99"/>
    <x v="4"/>
    <s v="Returned"/>
    <n v="15661.435580865631"/>
    <n v="51998"/>
    <s v="01-2024"/>
    <s v="High"/>
  </r>
  <r>
    <s v="ORD1438"/>
    <x v="2"/>
    <s v="Unknown"/>
    <x v="4"/>
    <s v="Karnataka"/>
    <x v="3"/>
    <s v="Laptop"/>
    <n v="1"/>
    <n v="25999"/>
    <n v="15"/>
    <n v="15000"/>
    <x v="1"/>
    <s v="Unknown"/>
    <n v="15661.435580865631"/>
    <n v="25999"/>
    <s v="01-2024"/>
    <s v="High"/>
  </r>
  <r>
    <s v="ORD1340"/>
    <x v="1"/>
    <s v="Priya"/>
    <x v="0"/>
    <s v="Maharashtra"/>
    <x v="2"/>
    <s v="Unknown"/>
    <n v="3"/>
    <n v="499.99"/>
    <n v="0"/>
    <n v="0"/>
    <x v="0"/>
    <s v="Unknown"/>
    <n v="1499.97"/>
    <n v="1499.97"/>
    <s v="01-1900"/>
    <s v="Normal"/>
  </r>
  <r>
    <s v="ORD1341"/>
    <x v="3"/>
    <s v="Mr. Rahul Sharma"/>
    <x v="0"/>
    <s v="Maharashtra"/>
    <x v="3"/>
    <s v="Chair"/>
    <n v="1"/>
    <n v="799.5"/>
    <n v="10"/>
    <n v="-500"/>
    <x v="4"/>
    <s v="Unknown"/>
    <n v="719.55000000000007"/>
    <n v="799.5"/>
    <s v="02-2024"/>
    <s v="Normal"/>
  </r>
  <r>
    <s v="ORD1342"/>
    <x v="1"/>
    <s v="Unknown"/>
    <x v="1"/>
    <s v="Karnataka"/>
    <x v="1"/>
    <s v="Unknown"/>
    <n v="3"/>
    <n v="499.99"/>
    <n v="0"/>
    <n v="-500"/>
    <x v="0"/>
    <s v="Delivered"/>
    <n v="1499.97"/>
    <n v="1499.97"/>
    <s v="01-1900"/>
    <s v="Normal"/>
  </r>
  <r>
    <s v="ORD1447"/>
    <x v="2"/>
    <s v="Unknown"/>
    <x v="3"/>
    <s v="Karnataka"/>
    <x v="3"/>
    <s v="Unknown"/>
    <n v="2"/>
    <n v="7830.7177904328155"/>
    <n v="5"/>
    <n v="499.99"/>
    <x v="4"/>
    <s v="Unknown"/>
    <n v="13312.220243735786"/>
    <n v="15661.435580865631"/>
    <s v="01-2024"/>
    <s v="High"/>
  </r>
  <r>
    <s v="ORD1451"/>
    <x v="2"/>
    <s v="Ms. Ananya Iyer"/>
    <x v="4"/>
    <s v="Unknown"/>
    <x v="2"/>
    <s v="Table"/>
    <n v="3"/>
    <n v="25999"/>
    <n v="0"/>
    <n v="30000"/>
    <x v="2"/>
    <s v="Unknown"/>
    <n v="13312.220243735786"/>
    <n v="77997"/>
    <s v="01-2024"/>
    <s v="High"/>
  </r>
  <r>
    <s v="ORD1345"/>
    <x v="1"/>
    <s v="Mr. Rahul Sharma"/>
    <x v="3"/>
    <s v="Unknown"/>
    <x v="1"/>
    <s v="Chair"/>
    <n v="1"/>
    <n v="7830.7177904328155"/>
    <n v="15"/>
    <n v="15000"/>
    <x v="1"/>
    <s v="Delivered"/>
    <n v="6656.1101218678932"/>
    <n v="7830.7177904328155"/>
    <s v="01-1900"/>
    <s v="Normal"/>
  </r>
  <r>
    <s v="ORD1346"/>
    <x v="1"/>
    <s v="Ms. Ananya Iyer"/>
    <x v="3"/>
    <s v="Karnataka"/>
    <x v="1"/>
    <s v="Unknown"/>
    <n v="1"/>
    <n v="7830.7177904328155"/>
    <n v="0"/>
    <n v="30000"/>
    <x v="1"/>
    <s v="Unknown"/>
    <n v="7830.7177904328155"/>
    <n v="7830.7177904328155"/>
    <s v="01-1900"/>
    <s v="Normal"/>
  </r>
  <r>
    <s v="ORD1470"/>
    <x v="2"/>
    <s v="Unknown"/>
    <x v="3"/>
    <s v="Unknown"/>
    <x v="1"/>
    <s v="Laptop"/>
    <n v="4"/>
    <n v="7830.7177904328155"/>
    <n v="15"/>
    <n v="499.99"/>
    <x v="2"/>
    <s v="In Transit"/>
    <n v="12999.5"/>
    <n v="31322.871161731262"/>
    <s v="01-2024"/>
    <s v="High"/>
  </r>
  <r>
    <s v="ORD1480"/>
    <x v="2"/>
    <s v="Mr. Rahul Sharma"/>
    <x v="1"/>
    <s v="Tamil Nadu"/>
    <x v="1"/>
    <s v="Table"/>
    <n v="1"/>
    <n v="25999"/>
    <n v="0"/>
    <n v="0"/>
    <x v="2"/>
    <s v="In Transit"/>
    <n v="12999"/>
    <n v="25999"/>
    <s v="01-2024"/>
    <s v="High"/>
  </r>
  <r>
    <s v="ORD1350"/>
    <x v="2"/>
    <s v="Mr. Rahul Sharma"/>
    <x v="3"/>
    <s v="Unknown"/>
    <x v="1"/>
    <s v="Unknown"/>
    <n v="1"/>
    <n v="7830.7177904328155"/>
    <n v="10"/>
    <n v="0"/>
    <x v="0"/>
    <s v="Cancelled"/>
    <n v="7047.6460113895337"/>
    <n v="7830.7177904328155"/>
    <s v="01-2024"/>
    <s v="Normal"/>
  </r>
  <r>
    <s v="ORD1351"/>
    <x v="1"/>
    <s v="Unknown"/>
    <x v="2"/>
    <s v="Tamil Nadu"/>
    <x v="1"/>
    <s v="Shirt"/>
    <n v="1"/>
    <n v="799.5"/>
    <n v="15"/>
    <n v="-500"/>
    <x v="3"/>
    <s v="Cancelled"/>
    <n v="679.57499999999993"/>
    <n v="799.5"/>
    <s v="01-1900"/>
    <s v="Normal"/>
  </r>
  <r>
    <s v="ORD1481"/>
    <x v="2"/>
    <s v="Ms. Ananya Iyer"/>
    <x v="4"/>
    <s v="Unknown"/>
    <x v="0"/>
    <s v="Chair"/>
    <n v="1"/>
    <n v="25999"/>
    <n v="5"/>
    <n v="0"/>
    <x v="3"/>
    <s v="Delivered"/>
    <n v="12999"/>
    <n v="25999"/>
    <s v="01-2024"/>
    <s v="High"/>
  </r>
  <r>
    <s v="ORD1353"/>
    <x v="0"/>
    <s v="Ms. Ananya Iyer"/>
    <x v="1"/>
    <s v="Unknown"/>
    <x v="1"/>
    <s v="Shirt"/>
    <n v="3"/>
    <n v="799.5"/>
    <n v="0"/>
    <n v="0"/>
    <x v="0"/>
    <s v="Unknown"/>
    <n v="2398.5"/>
    <n v="2398.5"/>
    <s v="03-2024"/>
    <s v="Normal"/>
  </r>
  <r>
    <s v="ORD1355"/>
    <x v="1"/>
    <s v="Mr. Rahul Sharma"/>
    <x v="4"/>
    <s v="Tamil Nadu"/>
    <x v="1"/>
    <s v="Unknown"/>
    <n v="1"/>
    <n v="799.5"/>
    <n v="0"/>
    <n v="499.99"/>
    <x v="0"/>
    <s v="Unknown"/>
    <n v="799.5"/>
    <n v="799.5"/>
    <s v="01-1900"/>
    <s v="Normal"/>
  </r>
  <r>
    <s v="ORD1357"/>
    <x v="1"/>
    <s v="Dr. John"/>
    <x v="4"/>
    <s v="Unknown"/>
    <x v="0"/>
    <s v="Mobile"/>
    <n v="1"/>
    <n v="7830.7177904328155"/>
    <n v="10"/>
    <n v="15000"/>
    <x v="0"/>
    <s v="Returned"/>
    <n v="7047.6460113895337"/>
    <n v="7830.7177904328155"/>
    <s v="01-1900"/>
    <s v="Normal"/>
  </r>
  <r>
    <s v="ORD1358"/>
    <x v="1"/>
    <s v="Priya"/>
    <x v="2"/>
    <s v="Karnataka"/>
    <x v="2"/>
    <s v="Unknown"/>
    <n v="1"/>
    <n v="499.99"/>
    <n v="0"/>
    <n v="499.99"/>
    <x v="1"/>
    <s v="Unknown"/>
    <n v="499.99"/>
    <n v="499.99"/>
    <s v="01-1900"/>
    <s v="Normal"/>
  </r>
  <r>
    <s v="ORD1359"/>
    <x v="3"/>
    <s v="Priya"/>
    <x v="4"/>
    <s v="Unknown"/>
    <x v="2"/>
    <s v="Laptop"/>
    <n v="2"/>
    <n v="799.5"/>
    <n v="0"/>
    <n v="15000"/>
    <x v="0"/>
    <s v="Unknown"/>
    <n v="1599"/>
    <n v="1599"/>
    <s v="02-2024"/>
    <s v="Normal"/>
  </r>
  <r>
    <s v="ORD1485"/>
    <x v="2"/>
    <s v="Dr. John"/>
    <x v="4"/>
    <s v="Unknown"/>
    <x v="3"/>
    <s v="Chair"/>
    <n v="4"/>
    <n v="7830.7177904328155"/>
    <n v="15"/>
    <n v="0"/>
    <x v="4"/>
    <s v="In Transit"/>
    <n v="12999"/>
    <n v="31322.871161731262"/>
    <s v="01-2024"/>
    <s v="High"/>
  </r>
  <r>
    <s v="ORD1499"/>
    <x v="2"/>
    <s v="Mr. Rahul Sharma"/>
    <x v="2"/>
    <s v="Tamil Nadu"/>
    <x v="1"/>
    <s v="Chair"/>
    <n v="3"/>
    <n v="7830.7177904328155"/>
    <n v="50"/>
    <n v="0"/>
    <x v="3"/>
    <s v="Unknown"/>
    <n v="12349.05"/>
    <n v="23492.153371298446"/>
    <s v="01-2024"/>
    <s v="High"/>
  </r>
  <r>
    <s v="ORD1363"/>
    <x v="1"/>
    <s v="Dr. John"/>
    <x v="4"/>
    <s v="Unknown"/>
    <x v="2"/>
    <s v="Mobile"/>
    <n v="1"/>
    <n v="499.99"/>
    <n v="0"/>
    <n v="30000"/>
    <x v="1"/>
    <s v="Unknown"/>
    <n v="499.99"/>
    <n v="499.99"/>
    <s v="01-1900"/>
    <s v="Normal"/>
  </r>
  <r>
    <s v="ORD1503"/>
    <x v="2"/>
    <s v="Priya"/>
    <x v="2"/>
    <s v="Karnataka"/>
    <x v="1"/>
    <s v="Unknown"/>
    <n v="2"/>
    <n v="25999"/>
    <n v="15"/>
    <n v="15000"/>
    <x v="1"/>
    <s v="Delivered"/>
    <n v="12349.05"/>
    <n v="51998"/>
    <s v="01-2024"/>
    <s v="High"/>
  </r>
  <r>
    <s v="ORD1365"/>
    <x v="1"/>
    <s v="Unknown"/>
    <x v="4"/>
    <s v="Unknown"/>
    <x v="2"/>
    <s v="Shirt"/>
    <n v="2"/>
    <n v="499.99"/>
    <n v="10"/>
    <n v="-500"/>
    <x v="0"/>
    <s v="Unknown"/>
    <n v="899.98200000000008"/>
    <n v="999.98"/>
    <s v="01-1900"/>
    <s v="Normal"/>
  </r>
  <r>
    <s v="ORD1366"/>
    <x v="2"/>
    <s v="Priya"/>
    <x v="0"/>
    <s v="Unknown"/>
    <x v="3"/>
    <s v="Table"/>
    <n v="1"/>
    <n v="7830.7177904328155"/>
    <n v="50"/>
    <n v="30000"/>
    <x v="0"/>
    <s v="Unknown"/>
    <n v="3915.3588952164077"/>
    <n v="7830.7177904328155"/>
    <s v="01-2024"/>
    <s v="Normal"/>
  </r>
  <r>
    <s v="ORD1367"/>
    <x v="3"/>
    <s v="Unknown"/>
    <x v="2"/>
    <s v="Karnataka"/>
    <x v="3"/>
    <s v="Unknown"/>
    <n v="2"/>
    <n v="499.99"/>
    <n v="50"/>
    <n v="499.99"/>
    <x v="0"/>
    <s v="Cancelled"/>
    <n v="499.99"/>
    <n v="999.98"/>
    <s v="02-2024"/>
    <s v="Normal"/>
  </r>
  <r>
    <s v="ORD1368"/>
    <x v="3"/>
    <s v="Unknown"/>
    <x v="3"/>
    <s v="Karnataka"/>
    <x v="1"/>
    <s v="Shirt"/>
    <n v="3"/>
    <n v="499.99"/>
    <n v="0"/>
    <n v="0"/>
    <x v="4"/>
    <s v="Cancelled"/>
    <n v="1499.97"/>
    <n v="1499.97"/>
    <s v="02-2024"/>
    <s v="Normal"/>
  </r>
  <r>
    <s v="ORD1369"/>
    <x v="1"/>
    <s v="Ms. Ananya Iyer"/>
    <x v="1"/>
    <s v="Maharashtra"/>
    <x v="1"/>
    <s v="Chair"/>
    <n v="1"/>
    <n v="7830.7177904328155"/>
    <n v="10"/>
    <n v="15000"/>
    <x v="4"/>
    <s v="In Transit"/>
    <n v="7047.6460113895337"/>
    <n v="7830.7177904328155"/>
    <s v="01-1900"/>
    <s v="Normal"/>
  </r>
  <r>
    <s v="ORD1370"/>
    <x v="1"/>
    <s v="Unknown"/>
    <x v="3"/>
    <s v="Unknown"/>
    <x v="2"/>
    <s v="Shirt"/>
    <n v="1"/>
    <n v="7830.7177904328155"/>
    <n v="5"/>
    <n v="499.99"/>
    <x v="2"/>
    <s v="Unknown"/>
    <n v="7439.1819009111741"/>
    <n v="7830.7177904328155"/>
    <s v="01-1900"/>
    <s v="Normal"/>
  </r>
  <r>
    <s v="ORD1371"/>
    <x v="3"/>
    <s v="Mr. Rahul Sharma"/>
    <x v="3"/>
    <s v="Karnataka"/>
    <x v="2"/>
    <s v="Unknown"/>
    <n v="2"/>
    <n v="799.5"/>
    <n v="50"/>
    <n v="0"/>
    <x v="2"/>
    <s v="Unknown"/>
    <n v="799.5"/>
    <n v="1599"/>
    <s v="02-2024"/>
    <s v="Normal"/>
  </r>
  <r>
    <s v="ORD1533"/>
    <x v="2"/>
    <s v="Dr. John"/>
    <x v="0"/>
    <s v="Maharashtra"/>
    <x v="2"/>
    <s v="Shirt"/>
    <n v="4"/>
    <n v="7830.7177904328155"/>
    <n v="10"/>
    <n v="-500"/>
    <x v="2"/>
    <s v="Unknown"/>
    <n v="11049.15"/>
    <n v="31322.871161731262"/>
    <s v="01-2024"/>
    <s v="High"/>
  </r>
  <r>
    <s v="ORD1373"/>
    <x v="0"/>
    <s v="Unknown"/>
    <x v="1"/>
    <s v="Karnataka"/>
    <x v="3"/>
    <s v="Laptop"/>
    <n v="1"/>
    <n v="7830.7177904328155"/>
    <n v="0"/>
    <n v="15000"/>
    <x v="0"/>
    <s v="Unknown"/>
    <n v="7830.7177904328155"/>
    <n v="7830.7177904328155"/>
    <s v="03-2024"/>
    <s v="Normal"/>
  </r>
  <r>
    <s v="ORD1374"/>
    <x v="0"/>
    <s v="Unknown"/>
    <x v="4"/>
    <s v="Unknown"/>
    <x v="3"/>
    <s v="Laptop"/>
    <n v="4"/>
    <n v="799.5"/>
    <n v="10"/>
    <n v="15000"/>
    <x v="1"/>
    <s v="Delivered"/>
    <n v="2878.2000000000003"/>
    <n v="3198"/>
    <s v="03-2024"/>
    <s v="Normal"/>
  </r>
  <r>
    <s v="ORD1375"/>
    <x v="3"/>
    <s v="Mr. Rahul Sharma"/>
    <x v="3"/>
    <s v="Maharashtra"/>
    <x v="3"/>
    <s v="Mobile"/>
    <n v="1"/>
    <n v="7830.7177904328155"/>
    <n v="15"/>
    <n v="-500"/>
    <x v="3"/>
    <s v="Unknown"/>
    <n v="6656.1101218678932"/>
    <n v="7830.7177904328155"/>
    <s v="02-2024"/>
    <s v="Normal"/>
  </r>
  <r>
    <s v="ORD1004"/>
    <x v="1"/>
    <s v="Mr. Rahul Sharma"/>
    <x v="4"/>
    <s v="Karnataka"/>
    <x v="1"/>
    <s v="Chair"/>
    <n v="3"/>
    <n v="7830.7177904328155"/>
    <n v="15"/>
    <n v="-500"/>
    <x v="0"/>
    <s v="Delivered"/>
    <n v="103996"/>
    <n v="23492.153371298446"/>
    <s v="01-1900"/>
    <s v="High"/>
  </r>
  <r>
    <s v="ORD1377"/>
    <x v="0"/>
    <s v="Unknown"/>
    <x v="4"/>
    <s v="Unknown"/>
    <x v="1"/>
    <s v="Shirt"/>
    <n v="3"/>
    <n v="7830.7177904328155"/>
    <n v="50"/>
    <n v="0"/>
    <x v="4"/>
    <s v="Cancelled"/>
    <n v="11746.076685649223"/>
    <n v="23492.153371298446"/>
    <s v="03-2024"/>
    <s v="High"/>
  </r>
  <r>
    <s v="ORD1378"/>
    <x v="2"/>
    <s v="Ms. Ananya Iyer"/>
    <x v="3"/>
    <s v="Unknown"/>
    <x v="1"/>
    <s v="Chair"/>
    <n v="1"/>
    <n v="7830.7177904328155"/>
    <n v="50"/>
    <n v="0"/>
    <x v="4"/>
    <s v="In Transit"/>
    <n v="3915.3588952164077"/>
    <n v="7830.7177904328155"/>
    <s v="01-2024"/>
    <s v="Normal"/>
  </r>
  <r>
    <s v="ORD1379"/>
    <x v="3"/>
    <s v="Dr. John"/>
    <x v="2"/>
    <s v="Unknown"/>
    <x v="3"/>
    <s v="Laptop"/>
    <n v="1"/>
    <n v="799.5"/>
    <n v="5"/>
    <n v="15000"/>
    <x v="4"/>
    <s v="Unknown"/>
    <n v="759.52499999999998"/>
    <n v="799.5"/>
    <s v="02-2024"/>
    <s v="Normal"/>
  </r>
  <r>
    <s v="ORD1380"/>
    <x v="0"/>
    <s v="Unknown"/>
    <x v="4"/>
    <s v="Karnataka"/>
    <x v="3"/>
    <s v="Shirt"/>
    <n v="4"/>
    <n v="7830.7177904328155"/>
    <n v="15"/>
    <n v="0"/>
    <x v="1"/>
    <s v="Cancelled"/>
    <n v="26624.440487471573"/>
    <n v="31322.871161731262"/>
    <s v="03-2024"/>
    <s v="High"/>
  </r>
  <r>
    <s v="ORD1005"/>
    <x v="1"/>
    <s v="Ms. Ananya Iyer"/>
    <x v="4"/>
    <s v="Unknown"/>
    <x v="3"/>
    <s v="Chair"/>
    <n v="4"/>
    <n v="25999"/>
    <n v="0"/>
    <n v="499.99"/>
    <x v="0"/>
    <s v="Unknown"/>
    <n v="103996"/>
    <n v="103996"/>
    <s v="01-1900"/>
    <s v="High"/>
  </r>
  <r>
    <s v="ORD1382"/>
    <x v="2"/>
    <s v="Unknown"/>
    <x v="2"/>
    <s v="Maharashtra"/>
    <x v="3"/>
    <s v="Laptop"/>
    <n v="1"/>
    <n v="799.5"/>
    <n v="50"/>
    <n v="30000"/>
    <x v="2"/>
    <s v="Unknown"/>
    <n v="399.75"/>
    <n v="799.5"/>
    <s v="01-2024"/>
    <s v="Normal"/>
  </r>
  <r>
    <s v="ORD1011"/>
    <x v="1"/>
    <s v="Unknown"/>
    <x v="3"/>
    <s v="Karnataka"/>
    <x v="3"/>
    <s v="Mobile"/>
    <n v="4"/>
    <n v="25999"/>
    <n v="0"/>
    <n v="0"/>
    <x v="2"/>
    <s v="Delivered"/>
    <n v="103996"/>
    <n v="103996"/>
    <s v="01-1900"/>
    <s v="High"/>
  </r>
  <r>
    <s v="ORD1384"/>
    <x v="1"/>
    <s v="Mr. Rahul Sharma"/>
    <x v="0"/>
    <s v="Karnataka"/>
    <x v="3"/>
    <s v="Mobile"/>
    <n v="1"/>
    <n v="25999"/>
    <n v="0"/>
    <n v="499.99"/>
    <x v="0"/>
    <s v="Cancelled"/>
    <n v="25999"/>
    <n v="25999"/>
    <s v="01-1900"/>
    <s v="High"/>
  </r>
  <r>
    <s v="ORD1385"/>
    <x v="1"/>
    <s v="Unknown"/>
    <x v="0"/>
    <s v="Maharashtra"/>
    <x v="3"/>
    <s v="Table"/>
    <n v="2"/>
    <n v="7830.7177904328155"/>
    <n v="50"/>
    <n v="-500"/>
    <x v="2"/>
    <s v="Delivered"/>
    <n v="7830.7177904328155"/>
    <n v="15661.435580865631"/>
    <s v="01-1900"/>
    <s v="Normal"/>
  </r>
  <r>
    <s v="ORD1386"/>
    <x v="3"/>
    <s v="Unknown"/>
    <x v="3"/>
    <s v="Maharashtra"/>
    <x v="0"/>
    <s v="Table"/>
    <n v="4"/>
    <n v="799.5"/>
    <n v="10"/>
    <n v="0"/>
    <x v="3"/>
    <s v="Unknown"/>
    <n v="2878.2000000000003"/>
    <n v="3198"/>
    <s v="02-2024"/>
    <s v="Normal"/>
  </r>
  <r>
    <s v="ORD1387"/>
    <x v="1"/>
    <s v="Mr. Rahul Sharma"/>
    <x v="3"/>
    <s v="Tamil Nadu"/>
    <x v="0"/>
    <s v="Chair"/>
    <n v="3"/>
    <n v="799.5"/>
    <n v="0"/>
    <n v="499.99"/>
    <x v="0"/>
    <s v="Unknown"/>
    <n v="2398.5"/>
    <n v="2398.5"/>
    <s v="01-1900"/>
    <s v="Normal"/>
  </r>
  <r>
    <s v="ORD1388"/>
    <x v="0"/>
    <s v="Unknown"/>
    <x v="0"/>
    <s v="Maharashtra"/>
    <x v="0"/>
    <s v="Shirt"/>
    <n v="4"/>
    <n v="499.99"/>
    <n v="10"/>
    <n v="0"/>
    <x v="4"/>
    <s v="In Transit"/>
    <n v="1799.9640000000002"/>
    <n v="1999.96"/>
    <s v="03-2024"/>
    <s v="Normal"/>
  </r>
  <r>
    <s v="ORD1027"/>
    <x v="1"/>
    <s v="Unknown"/>
    <x v="0"/>
    <s v="Unknown"/>
    <x v="1"/>
    <s v="Laptop"/>
    <n v="1"/>
    <n v="12999"/>
    <n v="10"/>
    <n v="0"/>
    <x v="0"/>
    <s v="Unknown"/>
    <n v="88396.599999999991"/>
    <n v="12999"/>
    <s v="01-1900"/>
    <s v="High"/>
  </r>
  <r>
    <s v="ORD1390"/>
    <x v="1"/>
    <s v="Unknown"/>
    <x v="3"/>
    <s v="Unknown"/>
    <x v="1"/>
    <s v="Table"/>
    <n v="1"/>
    <n v="799.5"/>
    <n v="0"/>
    <n v="0"/>
    <x v="2"/>
    <s v="In Transit"/>
    <n v="799.5"/>
    <n v="799.5"/>
    <s v="01-1900"/>
    <s v="Normal"/>
  </r>
  <r>
    <s v="ORD1391"/>
    <x v="0"/>
    <s v="Dr. John"/>
    <x v="1"/>
    <s v="Karnataka"/>
    <x v="3"/>
    <s v="Unknown"/>
    <n v="3"/>
    <n v="499.99"/>
    <n v="15"/>
    <n v="-500"/>
    <x v="0"/>
    <s v="In Transit"/>
    <n v="1274.9745"/>
    <n v="1499.97"/>
    <s v="03-2024"/>
    <s v="Normal"/>
  </r>
  <r>
    <s v="ORD1392"/>
    <x v="0"/>
    <s v="Unknown"/>
    <x v="1"/>
    <s v="Maharashtra"/>
    <x v="2"/>
    <s v="Unknown"/>
    <n v="1"/>
    <n v="799.5"/>
    <n v="0"/>
    <n v="499.99"/>
    <x v="3"/>
    <s v="Delivered"/>
    <n v="799.5"/>
    <n v="799.5"/>
    <s v="03-2024"/>
    <s v="Normal"/>
  </r>
  <r>
    <s v="Unknown"/>
    <x v="1"/>
    <s v="Unknown"/>
    <x v="1"/>
    <s v="Karnataka"/>
    <x v="1"/>
    <s v="Laptop"/>
    <n v="1"/>
    <n v="25999"/>
    <n v="15"/>
    <n v="0"/>
    <x v="4"/>
    <s v="In Transit"/>
    <n v="77997"/>
    <n v="25999"/>
    <s v="01-1900"/>
    <s v="High"/>
  </r>
  <r>
    <s v="ORD1056"/>
    <x v="1"/>
    <s v="Unknown"/>
    <x v="2"/>
    <s v="Unknown"/>
    <x v="3"/>
    <s v="Unknown"/>
    <n v="4"/>
    <n v="25999"/>
    <n v="15"/>
    <n v="-500"/>
    <x v="0"/>
    <s v="Unknown"/>
    <n v="66297.45"/>
    <n v="103996"/>
    <s v="01-1900"/>
    <s v="High"/>
  </r>
  <r>
    <s v="ORD1395"/>
    <x v="2"/>
    <s v="Mr. Rahul Sharma"/>
    <x v="3"/>
    <s v="Karnataka"/>
    <x v="2"/>
    <s v="Shirt"/>
    <n v="1"/>
    <n v="7830.7177904328155"/>
    <n v="5"/>
    <n v="0"/>
    <x v="0"/>
    <s v="Cancelled"/>
    <n v="7439.1819009111741"/>
    <n v="7830.7177904328155"/>
    <s v="01-2024"/>
    <s v="Normal"/>
  </r>
  <r>
    <s v="ORD1077"/>
    <x v="1"/>
    <s v="Dr. John"/>
    <x v="3"/>
    <s v="Unknown"/>
    <x v="3"/>
    <s v="Laptop"/>
    <n v="1"/>
    <n v="12999"/>
    <n v="10"/>
    <n v="15000"/>
    <x v="3"/>
    <s v="Returned"/>
    <n v="51996"/>
    <n v="12999"/>
    <s v="01-1900"/>
    <s v="High"/>
  </r>
  <r>
    <s v="ORD1086"/>
    <x v="1"/>
    <s v="Unknown"/>
    <x v="0"/>
    <s v="Karnataka"/>
    <x v="3"/>
    <s v="Mobile"/>
    <n v="1"/>
    <n v="12999"/>
    <n v="0"/>
    <n v="0"/>
    <x v="4"/>
    <s v="Unknown"/>
    <n v="51996"/>
    <n v="12999"/>
    <s v="01-1900"/>
    <s v="High"/>
  </r>
  <r>
    <s v="ORD1088"/>
    <x v="1"/>
    <s v="Unknown"/>
    <x v="4"/>
    <s v="Karnataka"/>
    <x v="1"/>
    <s v="Chair"/>
    <n v="2"/>
    <n v="7830.7177904328155"/>
    <n v="0"/>
    <n v="0"/>
    <x v="1"/>
    <s v="Unknown"/>
    <n v="51996"/>
    <n v="15661.435580865631"/>
    <s v="01-1900"/>
    <s v="High"/>
  </r>
  <r>
    <s v="ORD1399"/>
    <x v="1"/>
    <s v="Mr. Rahul Sharma"/>
    <x v="3"/>
    <s v="Karnataka"/>
    <x v="1"/>
    <s v="Table"/>
    <n v="1"/>
    <n v="7830.7177904328155"/>
    <n v="5"/>
    <n v="499.99"/>
    <x v="0"/>
    <s v="Delivered"/>
    <n v="7439.1819009111741"/>
    <n v="7830.7177904328155"/>
    <s v="01-1900"/>
    <s v="Normal"/>
  </r>
  <r>
    <s v="ORD1089"/>
    <x v="1"/>
    <s v="Unknown"/>
    <x v="3"/>
    <s v="Karnataka"/>
    <x v="2"/>
    <s v="Chair"/>
    <n v="3"/>
    <n v="7830.7177904328155"/>
    <n v="0"/>
    <n v="15000"/>
    <x v="3"/>
    <s v="Delivered"/>
    <n v="51996"/>
    <n v="23492.153371298446"/>
    <s v="01-1900"/>
    <s v="High"/>
  </r>
  <r>
    <s v="ORD1403"/>
    <x v="2"/>
    <s v="Mr. Rahul Sharma"/>
    <x v="4"/>
    <s v="Maharashtra"/>
    <x v="3"/>
    <s v="Shirt"/>
    <n v="2"/>
    <n v="12999"/>
    <n v="10"/>
    <n v="30000"/>
    <x v="0"/>
    <s v="Cancelled"/>
    <n v="23398.2"/>
    <n v="25998"/>
    <s v="01-2024"/>
    <s v="High"/>
  </r>
  <r>
    <s v="ORD1404"/>
    <x v="1"/>
    <s v="Unknown"/>
    <x v="0"/>
    <s v="Tamil Nadu"/>
    <x v="1"/>
    <s v="Unknown"/>
    <n v="3"/>
    <n v="799.5"/>
    <n v="50"/>
    <n v="0"/>
    <x v="2"/>
    <s v="Delivered"/>
    <n v="1199.25"/>
    <n v="2398.5"/>
    <s v="01-1900"/>
    <s v="Normal"/>
  </r>
  <r>
    <s v="ORD1405"/>
    <x v="1"/>
    <s v="Mr. Rahul Sharma"/>
    <x v="2"/>
    <s v="Unknown"/>
    <x v="3"/>
    <s v="Unknown"/>
    <n v="2"/>
    <n v="799.5"/>
    <n v="0"/>
    <n v="-500"/>
    <x v="2"/>
    <s v="Delivered"/>
    <n v="1599"/>
    <n v="1599"/>
    <s v="01-1900"/>
    <s v="Normal"/>
  </r>
  <r>
    <s v="ORD1406"/>
    <x v="1"/>
    <s v="Dr. John"/>
    <x v="3"/>
    <s v="Unknown"/>
    <x v="1"/>
    <s v="Shirt"/>
    <n v="1"/>
    <n v="799.5"/>
    <n v="0"/>
    <n v="15000"/>
    <x v="2"/>
    <s v="In Transit"/>
    <n v="799.5"/>
    <n v="799.5"/>
    <s v="01-1900"/>
    <s v="Normal"/>
  </r>
  <r>
    <s v="ORD1407"/>
    <x v="0"/>
    <s v="Unknown"/>
    <x v="3"/>
    <s v="Tamil Nadu"/>
    <x v="0"/>
    <s v="Unknown"/>
    <n v="1"/>
    <n v="499.99"/>
    <n v="15"/>
    <n v="499.99"/>
    <x v="1"/>
    <s v="In Transit"/>
    <n v="424.99149999999997"/>
    <n v="499.99"/>
    <s v="03-2024"/>
    <s v="Normal"/>
  </r>
  <r>
    <s v="ORD1095"/>
    <x v="1"/>
    <s v="Unknown"/>
    <x v="1"/>
    <s v="Unknown"/>
    <x v="2"/>
    <s v="Shirt"/>
    <n v="2"/>
    <n v="12999"/>
    <n v="5"/>
    <n v="-500"/>
    <x v="2"/>
    <s v="In Transit"/>
    <n v="49398.1"/>
    <n v="25998"/>
    <s v="01-1900"/>
    <s v="High"/>
  </r>
  <r>
    <s v="ORD1104"/>
    <x v="1"/>
    <s v="Dr. John"/>
    <x v="1"/>
    <s v="Tamil Nadu"/>
    <x v="1"/>
    <s v="Chair"/>
    <n v="3"/>
    <n v="12999"/>
    <n v="10"/>
    <n v="-500"/>
    <x v="0"/>
    <s v="Unknown"/>
    <n v="46796.4"/>
    <n v="38997"/>
    <s v="01-1900"/>
    <s v="High"/>
  </r>
  <r>
    <s v="ORD1105"/>
    <x v="1"/>
    <s v="Unknown"/>
    <x v="1"/>
    <s v="Unknown"/>
    <x v="2"/>
    <s v="Laptop"/>
    <n v="1"/>
    <n v="25999"/>
    <n v="0"/>
    <n v="0"/>
    <x v="2"/>
    <s v="Unknown"/>
    <n v="44198.299999999996"/>
    <n v="25999"/>
    <s v="01-1900"/>
    <s v="High"/>
  </r>
  <r>
    <s v="ORD1108"/>
    <x v="1"/>
    <s v="Mr. Rahul Sharma"/>
    <x v="4"/>
    <s v="Tamil Nadu"/>
    <x v="3"/>
    <s v="Chair"/>
    <n v="4"/>
    <n v="7830.7177904328155"/>
    <n v="0"/>
    <n v="499.99"/>
    <x v="2"/>
    <s v="Delivered"/>
    <n v="44198.299999999996"/>
    <n v="31322.871161731262"/>
    <s v="01-1900"/>
    <s v="High"/>
  </r>
  <r>
    <s v="ORD1412"/>
    <x v="0"/>
    <s v="Mr. Rahul Sharma"/>
    <x v="4"/>
    <s v="Karnataka"/>
    <x v="2"/>
    <s v="Laptop"/>
    <n v="3"/>
    <n v="499.99"/>
    <n v="0"/>
    <n v="499.99"/>
    <x v="0"/>
    <s v="Returned"/>
    <n v="1499.97"/>
    <n v="1499.97"/>
    <s v="03-2024"/>
    <s v="Normal"/>
  </r>
  <r>
    <s v="ORD1413"/>
    <x v="2"/>
    <s v="Unknown"/>
    <x v="3"/>
    <s v="Unknown"/>
    <x v="2"/>
    <s v="Chair"/>
    <n v="1"/>
    <n v="7830.7177904328155"/>
    <n v="50"/>
    <n v="0"/>
    <x v="0"/>
    <s v="Returned"/>
    <n v="3915.3588952164077"/>
    <n v="7830.7177904328155"/>
    <s v="01-2024"/>
    <s v="Normal"/>
  </r>
  <r>
    <s v="ORD1129"/>
    <x v="1"/>
    <s v="Unknown"/>
    <x v="4"/>
    <s v="Maharashtra"/>
    <x v="1"/>
    <s v="Laptop"/>
    <n v="4"/>
    <n v="25999"/>
    <n v="0"/>
    <n v="30000"/>
    <x v="2"/>
    <s v="Unknown"/>
    <n v="38998.5"/>
    <n v="103996"/>
    <s v="01-1900"/>
    <s v="High"/>
  </r>
  <r>
    <s v="ORD1415"/>
    <x v="2"/>
    <s v="Unknown"/>
    <x v="4"/>
    <s v="Unknown"/>
    <x v="1"/>
    <s v="Unknown"/>
    <n v="1"/>
    <n v="7830.7177904328155"/>
    <n v="15"/>
    <n v="499.99"/>
    <x v="3"/>
    <s v="Unknown"/>
    <n v="6656.1101218678932"/>
    <n v="7830.7177904328155"/>
    <s v="01-2024"/>
    <s v="Normal"/>
  </r>
  <r>
    <s v="ORD1416"/>
    <x v="1"/>
    <s v="Ms. Ananya Iyer"/>
    <x v="4"/>
    <s v="Unknown"/>
    <x v="1"/>
    <s v="Chair"/>
    <n v="3"/>
    <n v="799.5"/>
    <n v="50"/>
    <n v="30000"/>
    <x v="0"/>
    <s v="In Transit"/>
    <n v="1199.25"/>
    <n v="2398.5"/>
    <s v="01-1900"/>
    <s v="Normal"/>
  </r>
  <r>
    <s v="ORD1417"/>
    <x v="3"/>
    <s v="Unknown"/>
    <x v="4"/>
    <s v="Unknown"/>
    <x v="2"/>
    <s v="Laptop"/>
    <n v="4"/>
    <n v="499.99"/>
    <n v="15"/>
    <n v="0"/>
    <x v="1"/>
    <s v="Returned"/>
    <n v="1699.9659999999999"/>
    <n v="1999.96"/>
    <s v="02-2024"/>
    <s v="Normal"/>
  </r>
  <r>
    <s v="ORD1132"/>
    <x v="1"/>
    <s v="Unknown"/>
    <x v="3"/>
    <s v="Karnataka"/>
    <x v="0"/>
    <s v="Mobile"/>
    <n v="1"/>
    <n v="12999"/>
    <n v="15"/>
    <n v="-500"/>
    <x v="2"/>
    <s v="Unknown"/>
    <n v="38997"/>
    <n v="12999"/>
    <s v="01-1900"/>
    <s v="High"/>
  </r>
  <r>
    <s v="ORD1138"/>
    <x v="1"/>
    <s v="Unknown"/>
    <x v="4"/>
    <s v="Karnataka"/>
    <x v="3"/>
    <s v="Mobile"/>
    <n v="4"/>
    <n v="12999"/>
    <n v="15"/>
    <n v="-500"/>
    <x v="1"/>
    <s v="Unknown"/>
    <n v="38997"/>
    <n v="51996"/>
    <s v="01-1900"/>
    <s v="High"/>
  </r>
  <r>
    <s v="ORD1420"/>
    <x v="2"/>
    <s v="Unknown"/>
    <x v="2"/>
    <s v="Unknown"/>
    <x v="0"/>
    <s v="Mobile"/>
    <n v="1"/>
    <n v="499.99"/>
    <n v="0"/>
    <n v="0"/>
    <x v="2"/>
    <s v="Returned"/>
    <n v="499.99"/>
    <n v="499.99"/>
    <s v="01-2024"/>
    <s v="Normal"/>
  </r>
  <r>
    <s v="ORD1421"/>
    <x v="0"/>
    <s v="Ms. Ananya Iyer"/>
    <x v="4"/>
    <s v="Unknown"/>
    <x v="1"/>
    <s v="Unknown"/>
    <n v="1"/>
    <n v="499.99"/>
    <n v="50"/>
    <n v="499.99"/>
    <x v="0"/>
    <s v="Cancelled"/>
    <n v="249.995"/>
    <n v="499.99"/>
    <s v="03-2024"/>
    <s v="Normal"/>
  </r>
  <r>
    <s v="ORD1142"/>
    <x v="1"/>
    <s v="Unknown"/>
    <x v="0"/>
    <s v="Unknown"/>
    <x v="2"/>
    <s v="Mobile"/>
    <n v="1"/>
    <n v="25999"/>
    <n v="50"/>
    <n v="499.99"/>
    <x v="3"/>
    <s v="In Transit"/>
    <n v="35097.300000000003"/>
    <n v="25999"/>
    <s v="01-1900"/>
    <s v="High"/>
  </r>
  <r>
    <s v="ORD1424"/>
    <x v="1"/>
    <s v="Ms. Ananya Iyer"/>
    <x v="2"/>
    <s v="Karnataka"/>
    <x v="1"/>
    <s v="Laptop"/>
    <n v="4"/>
    <n v="25999"/>
    <n v="5"/>
    <n v="0"/>
    <x v="0"/>
    <s v="Cancelled"/>
    <n v="98796.2"/>
    <n v="103996"/>
    <s v="01-1900"/>
    <s v="High"/>
  </r>
  <r>
    <s v="ORD1425"/>
    <x v="1"/>
    <s v="Unknown"/>
    <x v="4"/>
    <s v="Maharashtra"/>
    <x v="0"/>
    <s v="Laptop"/>
    <n v="1"/>
    <n v="799.5"/>
    <n v="0"/>
    <n v="0"/>
    <x v="3"/>
    <s v="Delivered"/>
    <n v="799.5"/>
    <n v="799.5"/>
    <s v="01-1900"/>
    <s v="Normal"/>
  </r>
  <r>
    <s v="ORD1163"/>
    <x v="1"/>
    <s v="Unknown"/>
    <x v="2"/>
    <s v="Maharashtra"/>
    <x v="3"/>
    <s v="Unknown"/>
    <n v="2"/>
    <n v="7830.7177904328155"/>
    <n v="15"/>
    <n v="499.99"/>
    <x v="2"/>
    <s v="Delivered"/>
    <n v="31322.871161731262"/>
    <n v="15661.435580865631"/>
    <s v="01-1900"/>
    <s v="High"/>
  </r>
  <r>
    <s v="ORD1176"/>
    <x v="1"/>
    <s v="Dr. John"/>
    <x v="4"/>
    <s v="Tamil Nadu"/>
    <x v="0"/>
    <s v="Chair"/>
    <n v="3"/>
    <n v="7830.7177904328155"/>
    <n v="10"/>
    <n v="499.99"/>
    <x v="3"/>
    <s v="In Transit"/>
    <n v="29756.727603644697"/>
    <n v="23492.153371298446"/>
    <s v="01-1900"/>
    <s v="High"/>
  </r>
  <r>
    <s v="ORD1191"/>
    <x v="1"/>
    <s v="Mr. Rahul Sharma"/>
    <x v="1"/>
    <s v="Unknown"/>
    <x v="2"/>
    <s v="Chair"/>
    <n v="3"/>
    <n v="7830.7177904328155"/>
    <n v="0"/>
    <n v="0"/>
    <x v="2"/>
    <s v="Delivered"/>
    <n v="26624.440487471573"/>
    <n v="23492.153371298446"/>
    <s v="01-1900"/>
    <s v="High"/>
  </r>
  <r>
    <s v="ORD1429"/>
    <x v="1"/>
    <s v="Mr. Rahul Sharma"/>
    <x v="2"/>
    <s v="Unknown"/>
    <x v="0"/>
    <s v="Unknown"/>
    <n v="3"/>
    <n v="799.5"/>
    <n v="0"/>
    <n v="30000"/>
    <x v="2"/>
    <s v="Returned"/>
    <n v="2398.5"/>
    <n v="2398.5"/>
    <s v="01-1900"/>
    <s v="Normal"/>
  </r>
  <r>
    <s v="ORD1192"/>
    <x v="1"/>
    <s v="Ms. Ananya Iyer"/>
    <x v="4"/>
    <s v="Karnataka"/>
    <x v="0"/>
    <s v="Mobile"/>
    <n v="1"/>
    <n v="25999"/>
    <n v="0"/>
    <n v="30000"/>
    <x v="3"/>
    <s v="Unknown"/>
    <n v="26624.440487471573"/>
    <n v="25999"/>
    <s v="01-1900"/>
    <s v="High"/>
  </r>
  <r>
    <s v="ORD1195"/>
    <x v="1"/>
    <s v="Unknown"/>
    <x v="1"/>
    <s v="Tamil Nadu"/>
    <x v="3"/>
    <s v="Unknown"/>
    <n v="1"/>
    <n v="12999"/>
    <n v="0"/>
    <n v="499.99"/>
    <x v="0"/>
    <s v="Unknown"/>
    <n v="25999"/>
    <n v="12999"/>
    <s v="01-1900"/>
    <s v="High"/>
  </r>
  <r>
    <s v="ORD1198"/>
    <x v="1"/>
    <s v="Mr. Rahul Sharma"/>
    <x v="2"/>
    <s v="Karnataka"/>
    <x v="1"/>
    <s v="Unknown"/>
    <n v="1"/>
    <n v="25999"/>
    <n v="15"/>
    <n v="0"/>
    <x v="2"/>
    <s v="In Transit"/>
    <n v="25999"/>
    <n v="25999"/>
    <s v="01-1900"/>
    <s v="High"/>
  </r>
  <r>
    <s v="ORD1200"/>
    <x v="1"/>
    <s v="Unknown"/>
    <x v="4"/>
    <s v="Unknown"/>
    <x v="2"/>
    <s v="Mobile"/>
    <n v="4"/>
    <n v="25999"/>
    <n v="15"/>
    <n v="-500"/>
    <x v="4"/>
    <s v="Unknown"/>
    <n v="25999"/>
    <n v="103996"/>
    <s v="01-1900"/>
    <s v="High"/>
  </r>
  <r>
    <s v="ORD1434"/>
    <x v="1"/>
    <s v="Ms. Ananya Iyer"/>
    <x v="3"/>
    <s v="Karnataka"/>
    <x v="1"/>
    <s v="Unknown"/>
    <n v="2"/>
    <n v="499.99"/>
    <n v="0"/>
    <n v="499.99"/>
    <x v="2"/>
    <s v="In Transit"/>
    <n v="999.98"/>
    <n v="999.98"/>
    <s v="01-1900"/>
    <s v="Normal"/>
  </r>
  <r>
    <s v="ORD1202"/>
    <x v="1"/>
    <s v="Priya"/>
    <x v="2"/>
    <s v="Unknown"/>
    <x v="3"/>
    <s v="Unknown"/>
    <n v="3"/>
    <n v="25999"/>
    <n v="0"/>
    <n v="0"/>
    <x v="2"/>
    <s v="Returned"/>
    <n v="25999"/>
    <n v="77997"/>
    <s v="01-1900"/>
    <s v="High"/>
  </r>
  <r>
    <s v="ORD1436"/>
    <x v="2"/>
    <s v="Ms. Ananya Iyer"/>
    <x v="2"/>
    <s v="Maharashtra"/>
    <x v="3"/>
    <s v="Unknown"/>
    <n v="4"/>
    <n v="799.5"/>
    <n v="5"/>
    <n v="-500"/>
    <x v="0"/>
    <s v="Returned"/>
    <n v="3038.1"/>
    <n v="3198"/>
    <s v="01-2024"/>
    <s v="Normal"/>
  </r>
  <r>
    <s v="ORD1437"/>
    <x v="0"/>
    <s v="Priya"/>
    <x v="1"/>
    <s v="Tamil Nadu"/>
    <x v="0"/>
    <s v="Unknown"/>
    <n v="1"/>
    <n v="7830.7177904328155"/>
    <n v="0"/>
    <n v="499.99"/>
    <x v="2"/>
    <s v="Returned"/>
    <n v="7830.7177904328155"/>
    <n v="7830.7177904328155"/>
    <s v="03-2024"/>
    <s v="Normal"/>
  </r>
  <r>
    <s v="ORD1211"/>
    <x v="1"/>
    <s v="Priya"/>
    <x v="4"/>
    <s v="Maharashtra"/>
    <x v="1"/>
    <s v="Unknown"/>
    <n v="3"/>
    <n v="12999"/>
    <n v="5"/>
    <n v="0"/>
    <x v="0"/>
    <s v="Returned"/>
    <n v="25999"/>
    <n v="38997"/>
    <s v="01-1900"/>
    <s v="High"/>
  </r>
  <r>
    <s v="ORD1439"/>
    <x v="0"/>
    <s v="Unknown"/>
    <x v="0"/>
    <s v="Tamil Nadu"/>
    <x v="3"/>
    <s v="Laptop"/>
    <n v="4"/>
    <n v="799.5"/>
    <n v="10"/>
    <n v="15000"/>
    <x v="4"/>
    <s v="In Transit"/>
    <n v="2878.2000000000003"/>
    <n v="3198"/>
    <s v="03-2024"/>
    <s v="Normal"/>
  </r>
  <r>
    <s v="ORD1214"/>
    <x v="1"/>
    <s v="Priya"/>
    <x v="4"/>
    <s v="Unknown"/>
    <x v="3"/>
    <s v="Chair"/>
    <n v="1"/>
    <n v="25999"/>
    <n v="5"/>
    <n v="30000"/>
    <x v="0"/>
    <s v="Unknown"/>
    <n v="25999"/>
    <n v="25999"/>
    <s v="01-1900"/>
    <s v="High"/>
  </r>
  <r>
    <s v="ORD1441"/>
    <x v="1"/>
    <s v="Priya"/>
    <x v="3"/>
    <s v="Unknown"/>
    <x v="0"/>
    <s v="Laptop"/>
    <n v="1"/>
    <n v="12999"/>
    <n v="0"/>
    <n v="0"/>
    <x v="2"/>
    <s v="Cancelled"/>
    <n v="12999"/>
    <n v="12999"/>
    <s v="01-1900"/>
    <s v="High"/>
  </r>
  <r>
    <s v="ORD1442"/>
    <x v="2"/>
    <s v="Dr. John"/>
    <x v="0"/>
    <s v="Tamil Nadu"/>
    <x v="1"/>
    <s v="Laptop"/>
    <n v="3"/>
    <n v="799.5"/>
    <n v="50"/>
    <n v="0"/>
    <x v="2"/>
    <s v="Returned"/>
    <n v="1199.25"/>
    <n v="2398.5"/>
    <s v="01-2024"/>
    <s v="Normal"/>
  </r>
  <r>
    <s v="ORD1218"/>
    <x v="1"/>
    <s v="Unknown"/>
    <x v="4"/>
    <s v="Unknown"/>
    <x v="3"/>
    <s v="Chair"/>
    <n v="1"/>
    <n v="25999"/>
    <n v="5"/>
    <n v="499.99"/>
    <x v="2"/>
    <s v="Delivered"/>
    <n v="25999"/>
    <n v="25999"/>
    <s v="01-1900"/>
    <s v="High"/>
  </r>
  <r>
    <s v="ORD1230"/>
    <x v="1"/>
    <s v="Mr. Rahul Sharma"/>
    <x v="2"/>
    <s v="Unknown"/>
    <x v="2"/>
    <s v="Mobile"/>
    <n v="1"/>
    <n v="25999"/>
    <n v="15"/>
    <n v="0"/>
    <x v="3"/>
    <s v="Unknown"/>
    <n v="25999"/>
    <n v="25999"/>
    <s v="01-1900"/>
    <s v="High"/>
  </r>
  <r>
    <s v="ORD1240"/>
    <x v="1"/>
    <s v="Ms. Ananya Iyer"/>
    <x v="1"/>
    <s v="Unknown"/>
    <x v="3"/>
    <s v="Table"/>
    <n v="1"/>
    <n v="12999"/>
    <n v="0"/>
    <n v="0"/>
    <x v="1"/>
    <s v="Unknown"/>
    <n v="25998"/>
    <n v="12999"/>
    <s v="01-1900"/>
    <s v="High"/>
  </r>
  <r>
    <s v="ORD1248"/>
    <x v="1"/>
    <s v="Priya"/>
    <x v="2"/>
    <s v="Maharashtra"/>
    <x v="3"/>
    <s v="Laptop"/>
    <n v="4"/>
    <n v="7830.7177904328155"/>
    <n v="0"/>
    <n v="15000"/>
    <x v="1"/>
    <s v="In Transit"/>
    <n v="25998"/>
    <n v="31322.871161731262"/>
    <s v="01-1900"/>
    <s v="High"/>
  </r>
  <r>
    <s v="ORD1263"/>
    <x v="1"/>
    <s v="Mr. Rahul Sharma"/>
    <x v="1"/>
    <s v="Unknown"/>
    <x v="0"/>
    <s v="Unknown"/>
    <n v="4"/>
    <n v="7830.7177904328155"/>
    <n v="50"/>
    <n v="30000"/>
    <x v="3"/>
    <s v="Unknown"/>
    <n v="25998"/>
    <n v="31322.871161731262"/>
    <s v="01-1900"/>
    <s v="High"/>
  </r>
  <r>
    <s v="ORD1278"/>
    <x v="1"/>
    <s v="Unknown"/>
    <x v="0"/>
    <s v="Maharashtra"/>
    <x v="1"/>
    <s v="Shirt"/>
    <n v="4"/>
    <n v="7830.7177904328155"/>
    <n v="50"/>
    <n v="0"/>
    <x v="1"/>
    <s v="Unknown"/>
    <n v="24699.05"/>
    <n v="31322.871161731262"/>
    <s v="01-1900"/>
    <s v="High"/>
  </r>
  <r>
    <s v="ORD1449"/>
    <x v="3"/>
    <s v="Unknown"/>
    <x v="0"/>
    <s v="Maharashtra"/>
    <x v="1"/>
    <s v="Shirt"/>
    <n v="1"/>
    <n v="25999"/>
    <n v="0"/>
    <n v="-500"/>
    <x v="2"/>
    <s v="Cancelled"/>
    <n v="25999"/>
    <n v="25999"/>
    <s v="02-2024"/>
    <s v="High"/>
  </r>
  <r>
    <s v="ORD1450"/>
    <x v="2"/>
    <s v="Priya"/>
    <x v="2"/>
    <s v="Unknown"/>
    <x v="2"/>
    <s v="Laptop"/>
    <n v="3"/>
    <n v="799.5"/>
    <n v="0"/>
    <n v="30000"/>
    <x v="4"/>
    <s v="Cancelled"/>
    <n v="2398.5"/>
    <n v="2398.5"/>
    <s v="01-2024"/>
    <s v="Normal"/>
  </r>
  <r>
    <s v="ORD1286"/>
    <x v="1"/>
    <s v="Dr. John"/>
    <x v="2"/>
    <s v="Tamil Nadu"/>
    <x v="2"/>
    <s v="Unknown"/>
    <n v="3"/>
    <n v="25999"/>
    <n v="15"/>
    <n v="30000"/>
    <x v="0"/>
    <s v="Unknown"/>
    <n v="24698.1"/>
    <n v="77997"/>
    <s v="01-1900"/>
    <s v="High"/>
  </r>
  <r>
    <s v="ORD1288"/>
    <x v="1"/>
    <s v="Priya"/>
    <x v="4"/>
    <s v="Unknown"/>
    <x v="2"/>
    <s v="Unknown"/>
    <n v="1"/>
    <n v="12999"/>
    <n v="5"/>
    <n v="15000"/>
    <x v="0"/>
    <s v="Unknown"/>
    <n v="24698.1"/>
    <n v="12999"/>
    <s v="01-1900"/>
    <s v="High"/>
  </r>
  <r>
    <s v="ORD1289"/>
    <x v="1"/>
    <s v="Priya"/>
    <x v="4"/>
    <s v="Unknown"/>
    <x v="1"/>
    <s v="Chair"/>
    <n v="2"/>
    <n v="7830.7177904328155"/>
    <n v="5"/>
    <n v="30000"/>
    <x v="0"/>
    <s v="Delivered"/>
    <n v="24698.1"/>
    <n v="15661.435580865631"/>
    <s v="01-1900"/>
    <s v="High"/>
  </r>
  <r>
    <s v="ORD1325"/>
    <x v="1"/>
    <s v="Unknown"/>
    <x v="1"/>
    <s v="Maharashtra"/>
    <x v="2"/>
    <s v="Laptop"/>
    <n v="1"/>
    <n v="25999"/>
    <n v="5"/>
    <n v="-500"/>
    <x v="2"/>
    <s v="Delivered"/>
    <n v="23399.100000000002"/>
    <n v="25999"/>
    <s v="01-1900"/>
    <s v="High"/>
  </r>
  <r>
    <s v="ORD1328"/>
    <x v="1"/>
    <s v="Unknown"/>
    <x v="4"/>
    <s v="Tamil Nadu"/>
    <x v="3"/>
    <s v="Mobile"/>
    <n v="1"/>
    <n v="25999"/>
    <n v="15"/>
    <n v="0"/>
    <x v="2"/>
    <s v="Returned"/>
    <n v="23399.100000000002"/>
    <n v="25999"/>
    <s v="01-1900"/>
    <s v="High"/>
  </r>
  <r>
    <s v="ORD1344"/>
    <x v="1"/>
    <s v="Unknown"/>
    <x v="4"/>
    <s v="Maharashtra"/>
    <x v="3"/>
    <s v="Table"/>
    <n v="3"/>
    <n v="7830.7177904328155"/>
    <n v="5"/>
    <n v="-500"/>
    <x v="2"/>
    <s v="Unknown"/>
    <n v="22317.545702733521"/>
    <n v="23492.153371298446"/>
    <s v="01-1900"/>
    <s v="High"/>
  </r>
  <r>
    <s v="ORD1457"/>
    <x v="1"/>
    <s v="Mr. Rahul Sharma"/>
    <x v="3"/>
    <s v="Unknown"/>
    <x v="1"/>
    <s v="Shirt"/>
    <n v="2"/>
    <n v="25999"/>
    <n v="5"/>
    <n v="30000"/>
    <x v="2"/>
    <s v="Cancelled"/>
    <n v="49398.1"/>
    <n v="51998"/>
    <s v="01-1900"/>
    <s v="High"/>
  </r>
  <r>
    <s v="ORD1458"/>
    <x v="1"/>
    <s v="Priya"/>
    <x v="2"/>
    <s v="Tamil Nadu"/>
    <x v="0"/>
    <s v="Table"/>
    <n v="2"/>
    <n v="499.99"/>
    <n v="5"/>
    <n v="15000"/>
    <x v="0"/>
    <s v="Unknown"/>
    <n v="949.98099999999999"/>
    <n v="999.98"/>
    <s v="01-1900"/>
    <s v="Normal"/>
  </r>
  <r>
    <s v="ORD1348"/>
    <x v="1"/>
    <s v="Unknown"/>
    <x v="4"/>
    <s v="Unknown"/>
    <x v="1"/>
    <s v="Unknown"/>
    <n v="1"/>
    <n v="12999"/>
    <n v="5"/>
    <n v="-500"/>
    <x v="0"/>
    <s v="Unknown"/>
    <n v="22317.545702733521"/>
    <n v="12999"/>
    <s v="01-1900"/>
    <s v="High"/>
  </r>
  <r>
    <s v="ORD1460"/>
    <x v="1"/>
    <s v="Unknown"/>
    <x v="3"/>
    <s v="Tamil Nadu"/>
    <x v="1"/>
    <s v="Unknown"/>
    <n v="1"/>
    <n v="499.99"/>
    <n v="15"/>
    <n v="15000"/>
    <x v="0"/>
    <s v="Cancelled"/>
    <n v="424.99149999999997"/>
    <n v="499.99"/>
    <s v="01-1900"/>
    <s v="Normal"/>
  </r>
  <r>
    <s v="ORD1362"/>
    <x v="1"/>
    <s v="Priya"/>
    <x v="3"/>
    <s v="Unknown"/>
    <x v="1"/>
    <s v="Unknown"/>
    <n v="1"/>
    <n v="25999"/>
    <n v="0"/>
    <n v="-500"/>
    <x v="0"/>
    <s v="Delivered"/>
    <n v="22099.149999999998"/>
    <n v="25999"/>
    <s v="01-1900"/>
    <s v="High"/>
  </r>
  <r>
    <s v="ORD1462"/>
    <x v="2"/>
    <s v="Unknown"/>
    <x v="4"/>
    <s v="Unknown"/>
    <x v="1"/>
    <s v="Mobile"/>
    <n v="1"/>
    <n v="7830.7177904328155"/>
    <n v="50"/>
    <n v="15000"/>
    <x v="2"/>
    <s v="Cancelled"/>
    <n v="3915.3588952164077"/>
    <n v="7830.7177904328155"/>
    <s v="01-2024"/>
    <s v="Normal"/>
  </r>
  <r>
    <s v="ORD1463"/>
    <x v="0"/>
    <s v="Mr. Rahul Sharma"/>
    <x v="3"/>
    <s v="Unknown"/>
    <x v="1"/>
    <s v="Table"/>
    <n v="3"/>
    <n v="499.99"/>
    <n v="0"/>
    <n v="-500"/>
    <x v="3"/>
    <s v="Unknown"/>
    <n v="1499.97"/>
    <n v="1499.97"/>
    <s v="03-2024"/>
    <s v="Normal"/>
  </r>
  <r>
    <s v="ORD1464"/>
    <x v="1"/>
    <s v="Ms. Ananya Iyer"/>
    <x v="4"/>
    <s v="Unknown"/>
    <x v="3"/>
    <s v="Shirt"/>
    <n v="1"/>
    <n v="499.99"/>
    <n v="5"/>
    <n v="30000"/>
    <x v="2"/>
    <s v="In Transit"/>
    <n v="474.9905"/>
    <n v="499.99"/>
    <s v="01-1900"/>
    <s v="Normal"/>
  </r>
  <r>
    <s v="ORD1465"/>
    <x v="3"/>
    <s v="Unknown"/>
    <x v="1"/>
    <s v="Karnataka"/>
    <x v="2"/>
    <s v="Laptop"/>
    <n v="2"/>
    <n v="7830.7177904328155"/>
    <n v="50"/>
    <n v="0"/>
    <x v="3"/>
    <s v="Cancelled"/>
    <n v="7830.7177904328155"/>
    <n v="15661.435580865631"/>
    <s v="02-2024"/>
    <s v="Normal"/>
  </r>
  <r>
    <s v="ORD1364"/>
    <x v="1"/>
    <s v="Ms. Ananya Iyer"/>
    <x v="2"/>
    <s v="Unknown"/>
    <x v="3"/>
    <s v="Shirt"/>
    <n v="4"/>
    <n v="12999"/>
    <n v="0"/>
    <n v="-500"/>
    <x v="2"/>
    <s v="Unknown"/>
    <n v="22099.149999999998"/>
    <n v="51996"/>
    <s v="01-1900"/>
    <s v="High"/>
  </r>
  <r>
    <s v="ORD1468"/>
    <x v="1"/>
    <s v="Priya"/>
    <x v="3"/>
    <s v="Unknown"/>
    <x v="3"/>
    <s v="Chair"/>
    <n v="1"/>
    <n v="7830.7177904328155"/>
    <n v="0"/>
    <n v="0"/>
    <x v="0"/>
    <s v="Delivered"/>
    <n v="7830.7177904328155"/>
    <n v="7830.7177904328155"/>
    <s v="01-1900"/>
    <s v="Normal"/>
  </r>
  <r>
    <s v="ORD1469"/>
    <x v="2"/>
    <s v="Unknown"/>
    <x v="1"/>
    <s v="Maharashtra"/>
    <x v="0"/>
    <s v="Unknown"/>
    <n v="1"/>
    <n v="7830.7177904328155"/>
    <n v="0"/>
    <n v="-500"/>
    <x v="1"/>
    <s v="Unknown"/>
    <n v="7830.7177904328155"/>
    <n v="7830.7177904328155"/>
    <s v="01-2024"/>
    <s v="Normal"/>
  </r>
  <r>
    <s v="ORD1381"/>
    <x v="1"/>
    <s v="Dr. John"/>
    <x v="3"/>
    <s v="Unknown"/>
    <x v="3"/>
    <s v="Unknown"/>
    <n v="2"/>
    <n v="12999"/>
    <n v="0"/>
    <n v="30000"/>
    <x v="3"/>
    <s v="In Transit"/>
    <n v="22099.149999999998"/>
    <n v="25998"/>
    <s v="01-1900"/>
    <s v="High"/>
  </r>
  <r>
    <s v="ORD1471"/>
    <x v="0"/>
    <s v="Priya"/>
    <x v="1"/>
    <s v="Unknown"/>
    <x v="1"/>
    <s v="Chair"/>
    <n v="2"/>
    <n v="7830.7177904328155"/>
    <n v="10"/>
    <n v="0"/>
    <x v="0"/>
    <s v="Cancelled"/>
    <n v="14095.292022779067"/>
    <n v="15661.435580865631"/>
    <s v="03-2024"/>
    <s v="High"/>
  </r>
  <r>
    <s v="ORD1472"/>
    <x v="1"/>
    <s v="Unknown"/>
    <x v="3"/>
    <s v="Maharashtra"/>
    <x v="0"/>
    <s v="Mobile"/>
    <n v="1"/>
    <n v="499.99"/>
    <n v="5"/>
    <n v="-500"/>
    <x v="0"/>
    <s v="Unknown"/>
    <n v="474.9905"/>
    <n v="499.99"/>
    <s v="01-1900"/>
    <s v="Normal"/>
  </r>
  <r>
    <s v="ORD1383"/>
    <x v="1"/>
    <s v="Mr. Rahul Sharma"/>
    <x v="1"/>
    <s v="Unknown"/>
    <x v="3"/>
    <s v="Laptop"/>
    <n v="4"/>
    <n v="25999"/>
    <n v="50"/>
    <n v="15000"/>
    <x v="0"/>
    <s v="Unknown"/>
    <n v="22099.149999999998"/>
    <n v="103996"/>
    <s v="01-1900"/>
    <s v="High"/>
  </r>
  <r>
    <s v="ORD1474"/>
    <x v="2"/>
    <s v="Unknown"/>
    <x v="1"/>
    <s v="Karnataka"/>
    <x v="3"/>
    <s v="Table"/>
    <n v="1"/>
    <n v="799.5"/>
    <n v="15"/>
    <n v="15000"/>
    <x v="4"/>
    <s v="Returned"/>
    <n v="679.57499999999993"/>
    <n v="799.5"/>
    <s v="01-2024"/>
    <s v="Normal"/>
  </r>
  <r>
    <s v="ORD1475"/>
    <x v="2"/>
    <s v="Unknown"/>
    <x v="4"/>
    <s v="Karnataka"/>
    <x v="3"/>
    <s v="Mobile"/>
    <n v="1"/>
    <n v="7830.7177904328155"/>
    <n v="15"/>
    <n v="0"/>
    <x v="3"/>
    <s v="Unknown"/>
    <n v="6656.1101218678932"/>
    <n v="7830.7177904328155"/>
    <s v="01-2024"/>
    <s v="Normal"/>
  </r>
  <r>
    <s v="ORD1476"/>
    <x v="0"/>
    <s v="Ms. Ananya Iyer"/>
    <x v="2"/>
    <s v="Maharashtra"/>
    <x v="1"/>
    <s v="Table"/>
    <n v="1"/>
    <n v="7830.7177904328155"/>
    <n v="50"/>
    <n v="499.99"/>
    <x v="2"/>
    <s v="Unknown"/>
    <n v="3915.3588952164077"/>
    <n v="7830.7177904328155"/>
    <s v="03-2024"/>
    <s v="Normal"/>
  </r>
  <r>
    <s v="ORD1477"/>
    <x v="2"/>
    <s v="Unknown"/>
    <x v="1"/>
    <s v="Maharashtra"/>
    <x v="3"/>
    <s v="Unknown"/>
    <n v="2"/>
    <n v="25999"/>
    <n v="0"/>
    <n v="499.99"/>
    <x v="0"/>
    <s v="Cancelled"/>
    <n v="51998"/>
    <n v="51998"/>
    <s v="01-2024"/>
    <s v="High"/>
  </r>
  <r>
    <s v="ORD1393"/>
    <x v="1"/>
    <s v="Unknown"/>
    <x v="3"/>
    <s v="Maharashtra"/>
    <x v="1"/>
    <s v="Unknown"/>
    <n v="2"/>
    <n v="25999"/>
    <n v="0"/>
    <n v="0"/>
    <x v="2"/>
    <s v="In Transit"/>
    <n v="22098.3"/>
    <n v="51998"/>
    <s v="01-1900"/>
    <s v="High"/>
  </r>
  <r>
    <s v="ORD1479"/>
    <x v="2"/>
    <s v="Unknown"/>
    <x v="0"/>
    <s v="Maharashtra"/>
    <x v="1"/>
    <s v="Table"/>
    <n v="1"/>
    <n v="499.99"/>
    <n v="0"/>
    <n v="15000"/>
    <x v="3"/>
    <s v="Cancelled"/>
    <n v="499.99"/>
    <n v="499.99"/>
    <s v="01-2024"/>
    <s v="Normal"/>
  </r>
  <r>
    <s v="ORD1394"/>
    <x v="1"/>
    <s v="Unknown"/>
    <x v="4"/>
    <s v="Karnataka"/>
    <x v="2"/>
    <s v="Unknown"/>
    <n v="4"/>
    <n v="7830.7177904328155"/>
    <n v="0"/>
    <n v="0"/>
    <x v="0"/>
    <s v="In Transit"/>
    <n v="22098.3"/>
    <n v="31322.871161731262"/>
    <s v="01-1900"/>
    <s v="High"/>
  </r>
  <r>
    <s v="ORD1396"/>
    <x v="1"/>
    <s v="Unknown"/>
    <x v="2"/>
    <s v="Unknown"/>
    <x v="0"/>
    <s v="Chair"/>
    <n v="3"/>
    <n v="25999"/>
    <n v="0"/>
    <n v="0"/>
    <x v="2"/>
    <s v="Unknown"/>
    <n v="21142.938034168601"/>
    <n v="77997"/>
    <s v="01-1900"/>
    <s v="High"/>
  </r>
  <r>
    <s v="ORD1397"/>
    <x v="1"/>
    <s v="Ms. Ananya Iyer"/>
    <x v="3"/>
    <s v="Tamil Nadu"/>
    <x v="1"/>
    <s v="Unknown"/>
    <n v="3"/>
    <n v="7830.7177904328155"/>
    <n v="5"/>
    <n v="30000"/>
    <x v="0"/>
    <s v="In Transit"/>
    <n v="21142.938034168601"/>
    <n v="23492.153371298446"/>
    <s v="01-1900"/>
    <s v="High"/>
  </r>
  <r>
    <s v="ORD1483"/>
    <x v="0"/>
    <s v="Mr. Rahul Sharma"/>
    <x v="3"/>
    <s v="Unknown"/>
    <x v="1"/>
    <s v="Shirt"/>
    <n v="1"/>
    <n v="7830.7177904328155"/>
    <n v="50"/>
    <n v="0"/>
    <x v="2"/>
    <s v="Cancelled"/>
    <n v="3915.3588952164077"/>
    <n v="7830.7177904328155"/>
    <s v="03-2024"/>
    <s v="Normal"/>
  </r>
  <r>
    <s v="ORD1484"/>
    <x v="3"/>
    <s v="Mr. Rahul Sharma"/>
    <x v="3"/>
    <s v="Karnataka"/>
    <x v="1"/>
    <s v="Mobile"/>
    <n v="1"/>
    <n v="7830.7177904328155"/>
    <n v="5"/>
    <n v="30000"/>
    <x v="3"/>
    <s v="In Transit"/>
    <n v="7439.1819009111741"/>
    <n v="7830.7177904328155"/>
    <s v="02-2024"/>
    <s v="Normal"/>
  </r>
  <r>
    <s v="ORD1400"/>
    <x v="1"/>
    <s v="Dr. John"/>
    <x v="4"/>
    <s v="Karnataka"/>
    <x v="1"/>
    <s v="Chair"/>
    <n v="4"/>
    <n v="25999"/>
    <n v="0"/>
    <n v="-500"/>
    <x v="1"/>
    <s v="Unknown"/>
    <n v="19968.330365603677"/>
    <n v="103996"/>
    <s v="01-1900"/>
    <s v="High"/>
  </r>
  <r>
    <s v="ORD1486"/>
    <x v="0"/>
    <s v="Ms. Ananya Iyer"/>
    <x v="3"/>
    <s v="Tamil Nadu"/>
    <x v="0"/>
    <s v="Mobile"/>
    <n v="1"/>
    <n v="7830.7177904328155"/>
    <n v="10"/>
    <n v="499.99"/>
    <x v="0"/>
    <s v="Returned"/>
    <n v="7047.6460113895337"/>
    <n v="7830.7177904328155"/>
    <s v="03-2024"/>
    <s v="Normal"/>
  </r>
  <r>
    <s v="ORD1408"/>
    <x v="1"/>
    <s v="Mr. Rahul Sharma"/>
    <x v="3"/>
    <s v="Unknown"/>
    <x v="2"/>
    <s v="Unknown"/>
    <n v="2"/>
    <n v="12999"/>
    <n v="0"/>
    <n v="499.99"/>
    <x v="2"/>
    <s v="Unknown"/>
    <n v="19968.330365603677"/>
    <n v="25998"/>
    <s v="01-1900"/>
    <s v="High"/>
  </r>
  <r>
    <s v="ORD1488"/>
    <x v="1"/>
    <s v="Dr. John"/>
    <x v="3"/>
    <s v="Maharashtra"/>
    <x v="0"/>
    <s v="Laptop"/>
    <n v="1"/>
    <n v="7830.7177904328155"/>
    <n v="10"/>
    <n v="30000"/>
    <x v="1"/>
    <s v="Cancelled"/>
    <n v="7047.6460113895337"/>
    <n v="7830.7177904328155"/>
    <s v="01-1900"/>
    <s v="Normal"/>
  </r>
  <r>
    <s v="ORD1409"/>
    <x v="1"/>
    <s v="Priya"/>
    <x v="4"/>
    <s v="Unknown"/>
    <x v="3"/>
    <s v="Mobile"/>
    <n v="2"/>
    <n v="25999"/>
    <n v="50"/>
    <n v="0"/>
    <x v="4"/>
    <s v="In Transit"/>
    <n v="19498.5"/>
    <n v="51998"/>
    <s v="01-1900"/>
    <s v="High"/>
  </r>
  <r>
    <s v="ORD1411"/>
    <x v="1"/>
    <s v="Dr. John"/>
    <x v="3"/>
    <s v="Karnataka"/>
    <x v="2"/>
    <s v="Unknown"/>
    <n v="3"/>
    <n v="7830.7177904328155"/>
    <n v="0"/>
    <n v="15000"/>
    <x v="2"/>
    <s v="Delivered"/>
    <n v="15661.435580865631"/>
    <n v="23492.153371298446"/>
    <s v="01-1900"/>
    <s v="High"/>
  </r>
  <r>
    <s v="ORD1491"/>
    <x v="0"/>
    <s v="Ms. Ananya Iyer"/>
    <x v="0"/>
    <s v="Maharashtra"/>
    <x v="0"/>
    <s v="Chair"/>
    <n v="1"/>
    <n v="799.5"/>
    <n v="50"/>
    <n v="-500"/>
    <x v="2"/>
    <s v="Unknown"/>
    <n v="399.75"/>
    <n v="799.5"/>
    <s v="03-2024"/>
    <s v="Normal"/>
  </r>
  <r>
    <s v="ORD1414"/>
    <x v="1"/>
    <s v="Dr. John"/>
    <x v="3"/>
    <s v="Maharashtra"/>
    <x v="3"/>
    <s v="Unknown"/>
    <n v="1"/>
    <n v="12999"/>
    <n v="5"/>
    <n v="499.99"/>
    <x v="3"/>
    <s v="Returned"/>
    <n v="15661.435580865631"/>
    <n v="12999"/>
    <s v="01-1900"/>
    <s v="High"/>
  </r>
  <r>
    <s v="ORD1494"/>
    <x v="1"/>
    <s v="Mr. Rahul Sharma"/>
    <x v="3"/>
    <s v="Maharashtra"/>
    <x v="3"/>
    <s v="Unknown"/>
    <n v="1"/>
    <n v="499.99"/>
    <n v="15"/>
    <n v="499.99"/>
    <x v="2"/>
    <s v="In Transit"/>
    <n v="424.99149999999997"/>
    <n v="499.99"/>
    <s v="01-1900"/>
    <s v="Normal"/>
  </r>
  <r>
    <s v="ORD1496"/>
    <x v="0"/>
    <s v="Priya"/>
    <x v="2"/>
    <s v="Unknown"/>
    <x v="2"/>
    <s v="Table"/>
    <n v="1"/>
    <n v="499.99"/>
    <n v="15"/>
    <n v="-500"/>
    <x v="0"/>
    <s v="In Transit"/>
    <n v="424.99149999999997"/>
    <n v="499.99"/>
    <s v="03-2024"/>
    <s v="Normal"/>
  </r>
  <r>
    <s v="ORD1497"/>
    <x v="2"/>
    <s v="Dr. John"/>
    <x v="0"/>
    <s v="Maharashtra"/>
    <x v="1"/>
    <s v="Laptop"/>
    <n v="1"/>
    <n v="499.99"/>
    <n v="5"/>
    <n v="15000"/>
    <x v="3"/>
    <s v="Unknown"/>
    <n v="474.9905"/>
    <n v="499.99"/>
    <s v="01-2024"/>
    <s v="Normal"/>
  </r>
  <r>
    <s v="ORD1419"/>
    <x v="1"/>
    <s v="Ms. Ananya Iyer"/>
    <x v="2"/>
    <s v="Karnataka"/>
    <x v="1"/>
    <s v="Table"/>
    <n v="2"/>
    <n v="25999"/>
    <n v="0"/>
    <n v="30000"/>
    <x v="2"/>
    <s v="Unknown"/>
    <n v="15661.435580865631"/>
    <n v="51998"/>
    <s v="01-1900"/>
    <s v="High"/>
  </r>
  <r>
    <s v="ORD1431"/>
    <x v="1"/>
    <s v="Priya"/>
    <x v="0"/>
    <s v="Unknown"/>
    <x v="3"/>
    <s v="Shirt"/>
    <n v="4"/>
    <n v="7830.7177904328155"/>
    <n v="50"/>
    <n v="-500"/>
    <x v="1"/>
    <s v="Delivered"/>
    <n v="15661.435580865631"/>
    <n v="31322.871161731262"/>
    <s v="01-1900"/>
    <s v="High"/>
  </r>
  <r>
    <s v="ORD1432"/>
    <x v="1"/>
    <s v="Unknown"/>
    <x v="0"/>
    <s v="Karnataka"/>
    <x v="3"/>
    <s v="Mobile"/>
    <n v="2"/>
    <n v="12999"/>
    <n v="0"/>
    <n v="-500"/>
    <x v="0"/>
    <s v="Delivered"/>
    <n v="15661.435580865631"/>
    <n v="25998"/>
    <s v="01-1900"/>
    <s v="High"/>
  </r>
  <r>
    <s v="ORD1433"/>
    <x v="1"/>
    <s v="Ms. Ananya Iyer"/>
    <x v="2"/>
    <s v="Maharashtra"/>
    <x v="2"/>
    <s v="Chair"/>
    <n v="2"/>
    <n v="12999"/>
    <n v="15"/>
    <n v="15000"/>
    <x v="0"/>
    <s v="Unknown"/>
    <n v="15661.435580865631"/>
    <n v="25998"/>
    <s v="01-1900"/>
    <s v="High"/>
  </r>
  <r>
    <s v="ORD1435"/>
    <x v="1"/>
    <s v="Dr. John"/>
    <x v="2"/>
    <s v="Maharashtra"/>
    <x v="3"/>
    <s v="Shirt"/>
    <n v="1"/>
    <n v="25999"/>
    <n v="50"/>
    <n v="0"/>
    <x v="2"/>
    <s v="Returned"/>
    <n v="15661.435580865631"/>
    <n v="25999"/>
    <s v="01-1900"/>
    <s v="High"/>
  </r>
  <r>
    <s v="ORD1444"/>
    <x v="1"/>
    <s v="Mr. Rahul Sharma"/>
    <x v="2"/>
    <s v="Tamil Nadu"/>
    <x v="1"/>
    <s v="Chair"/>
    <n v="1"/>
    <n v="12999"/>
    <n v="10"/>
    <n v="15000"/>
    <x v="4"/>
    <s v="Returned"/>
    <n v="14878.363801822348"/>
    <n v="12999"/>
    <s v="01-1900"/>
    <s v="High"/>
  </r>
  <r>
    <s v="ORD1445"/>
    <x v="1"/>
    <s v="Unknown"/>
    <x v="3"/>
    <s v="Karnataka"/>
    <x v="3"/>
    <s v="Unknown"/>
    <n v="1"/>
    <n v="12999"/>
    <n v="15"/>
    <n v="30000"/>
    <x v="4"/>
    <s v="Delivered"/>
    <n v="14878.363801822348"/>
    <n v="12999"/>
    <s v="01-1900"/>
    <s v="High"/>
  </r>
  <r>
    <s v="ORD1505"/>
    <x v="0"/>
    <s v="Priya"/>
    <x v="1"/>
    <s v="Unknown"/>
    <x v="3"/>
    <s v="Laptop"/>
    <n v="4"/>
    <n v="799.5"/>
    <n v="0"/>
    <n v="0"/>
    <x v="1"/>
    <s v="Returned"/>
    <n v="3198"/>
    <n v="3198"/>
    <s v="03-2024"/>
    <s v="Normal"/>
  </r>
  <r>
    <s v="ORD1506"/>
    <x v="1"/>
    <s v="Unknown"/>
    <x v="2"/>
    <s v="Karnataka"/>
    <x v="0"/>
    <s v="Mobile"/>
    <n v="1"/>
    <n v="499.99"/>
    <n v="5"/>
    <n v="15000"/>
    <x v="1"/>
    <s v="Returned"/>
    <n v="474.9905"/>
    <n v="499.99"/>
    <s v="01-1900"/>
    <s v="Normal"/>
  </r>
  <r>
    <s v="ORD1507"/>
    <x v="1"/>
    <s v="Unknown"/>
    <x v="0"/>
    <s v="Unknown"/>
    <x v="2"/>
    <s v="Chair"/>
    <n v="1"/>
    <n v="7830.7177904328155"/>
    <n v="0"/>
    <n v="0"/>
    <x v="1"/>
    <s v="Returned"/>
    <n v="7830.7177904328155"/>
    <n v="7830.7177904328155"/>
    <s v="01-1900"/>
    <s v="Normal"/>
  </r>
  <r>
    <s v="ORD1448"/>
    <x v="1"/>
    <s v="Dr. John"/>
    <x v="1"/>
    <s v="Karnataka"/>
    <x v="2"/>
    <s v="Chair"/>
    <n v="3"/>
    <n v="7830.7177904328155"/>
    <n v="15"/>
    <n v="0"/>
    <x v="0"/>
    <s v="Unknown"/>
    <n v="13312.220243735786"/>
    <n v="23492.153371298446"/>
    <s v="01-1900"/>
    <s v="High"/>
  </r>
  <r>
    <s v="ORD1509"/>
    <x v="1"/>
    <s v="Ms. Ananya Iyer"/>
    <x v="3"/>
    <s v="Karnataka"/>
    <x v="0"/>
    <s v="Laptop"/>
    <n v="1"/>
    <n v="12999"/>
    <n v="50"/>
    <n v="15000"/>
    <x v="1"/>
    <s v="Unknown"/>
    <n v="6499.5"/>
    <n v="12999"/>
    <s v="01-1900"/>
    <s v="Normal"/>
  </r>
  <r>
    <s v="ORD1510"/>
    <x v="2"/>
    <s v="Unknown"/>
    <x v="3"/>
    <s v="Maharashtra"/>
    <x v="1"/>
    <s v="Mobile"/>
    <n v="1"/>
    <n v="499.99"/>
    <n v="50"/>
    <n v="-500"/>
    <x v="2"/>
    <s v="Delivered"/>
    <n v="249.995"/>
    <n v="499.99"/>
    <s v="01-2024"/>
    <s v="Normal"/>
  </r>
  <r>
    <s v="ORD1511"/>
    <x v="0"/>
    <s v="Ms. Ananya Iyer"/>
    <x v="0"/>
    <s v="Unknown"/>
    <x v="0"/>
    <s v="Table"/>
    <n v="1"/>
    <n v="799.5"/>
    <n v="0"/>
    <n v="15000"/>
    <x v="3"/>
    <s v="In Transit"/>
    <n v="799.5"/>
    <n v="799.5"/>
    <s v="03-2024"/>
    <s v="Normal"/>
  </r>
  <r>
    <s v="ORD1467"/>
    <x v="1"/>
    <s v="Unknown"/>
    <x v="4"/>
    <s v="Tamil Nadu"/>
    <x v="1"/>
    <s v="Laptop"/>
    <n v="4"/>
    <n v="25999"/>
    <n v="10"/>
    <n v="499.99"/>
    <x v="4"/>
    <s v="Unknown"/>
    <n v="12999.5"/>
    <n v="103996"/>
    <s v="01-1900"/>
    <s v="High"/>
  </r>
  <r>
    <s v="ORD1473"/>
    <x v="1"/>
    <s v="Dr. John"/>
    <x v="3"/>
    <s v="Karnataka"/>
    <x v="3"/>
    <s v="Table"/>
    <n v="2"/>
    <n v="7830.7177904328155"/>
    <n v="15"/>
    <n v="0"/>
    <x v="4"/>
    <s v="Unknown"/>
    <n v="12999"/>
    <n v="15661.435580865631"/>
    <s v="01-1900"/>
    <s v="High"/>
  </r>
  <r>
    <s v="ORD1514"/>
    <x v="1"/>
    <s v="Ms. Ananya Iyer"/>
    <x v="2"/>
    <s v="Unknown"/>
    <x v="0"/>
    <s v="Chair"/>
    <n v="1"/>
    <n v="799.5"/>
    <n v="10"/>
    <n v="30000"/>
    <x v="2"/>
    <s v="Unknown"/>
    <n v="719.55000000000007"/>
    <n v="799.5"/>
    <s v="01-1900"/>
    <s v="Normal"/>
  </r>
  <r>
    <s v="ORD1515"/>
    <x v="2"/>
    <s v="Unknown"/>
    <x v="3"/>
    <s v="Unknown"/>
    <x v="3"/>
    <s v="Mobile"/>
    <n v="4"/>
    <n v="799.5"/>
    <n v="15"/>
    <n v="-500"/>
    <x v="2"/>
    <s v="Delivered"/>
    <n v="2718.2999999999997"/>
    <n v="3198"/>
    <s v="01-2024"/>
    <s v="Normal"/>
  </r>
  <r>
    <s v="ORD1516"/>
    <x v="0"/>
    <s v="Ms. Ananya Iyer"/>
    <x v="0"/>
    <s v="Unknown"/>
    <x v="1"/>
    <s v="Unknown"/>
    <n v="2"/>
    <n v="499.99"/>
    <n v="0"/>
    <n v="15000"/>
    <x v="0"/>
    <s v="Unknown"/>
    <n v="999.98"/>
    <n v="999.98"/>
    <s v="03-2024"/>
    <s v="Normal"/>
  </r>
  <r>
    <s v="ORD1517"/>
    <x v="1"/>
    <s v="Unknown"/>
    <x v="3"/>
    <s v="Unknown"/>
    <x v="2"/>
    <s v="Unknown"/>
    <n v="4"/>
    <n v="12999"/>
    <n v="10"/>
    <n v="499.99"/>
    <x v="2"/>
    <s v="Cancelled"/>
    <n v="46796.4"/>
    <n v="51996"/>
    <s v="01-1900"/>
    <s v="High"/>
  </r>
  <r>
    <s v="ORD1482"/>
    <x v="1"/>
    <s v="Unknown"/>
    <x v="0"/>
    <s v="Maharashtra"/>
    <x v="1"/>
    <s v="Chair"/>
    <n v="3"/>
    <n v="25999"/>
    <n v="50"/>
    <n v="15000"/>
    <x v="4"/>
    <s v="Delivered"/>
    <n v="12999"/>
    <n v="77997"/>
    <s v="01-1900"/>
    <s v="High"/>
  </r>
  <r>
    <s v="ORD1519"/>
    <x v="1"/>
    <s v="Ms. Ananya Iyer"/>
    <x v="4"/>
    <s v="Karnataka"/>
    <x v="2"/>
    <s v="Table"/>
    <n v="1"/>
    <n v="799.5"/>
    <n v="50"/>
    <n v="30000"/>
    <x v="0"/>
    <s v="In Transit"/>
    <n v="399.75"/>
    <n v="799.5"/>
    <s v="01-1900"/>
    <s v="Normal"/>
  </r>
  <r>
    <s v="ORD1520"/>
    <x v="2"/>
    <s v="Ms. Ananya Iyer"/>
    <x v="1"/>
    <s v="Maharashtra"/>
    <x v="2"/>
    <s v="Unknown"/>
    <n v="1"/>
    <n v="7830.7177904328155"/>
    <n v="15"/>
    <n v="0"/>
    <x v="2"/>
    <s v="Cancelled"/>
    <n v="6656.1101218678932"/>
    <n v="7830.7177904328155"/>
    <s v="01-2024"/>
    <s v="Normal"/>
  </r>
  <r>
    <s v="ORD1521"/>
    <x v="0"/>
    <s v="Dr. John"/>
    <x v="1"/>
    <s v="Unknown"/>
    <x v="0"/>
    <s v="Chair"/>
    <n v="3"/>
    <n v="799.5"/>
    <n v="0"/>
    <n v="15000"/>
    <x v="4"/>
    <s v="Unknown"/>
    <n v="2398.5"/>
    <n v="2398.5"/>
    <s v="03-2024"/>
    <s v="Normal"/>
  </r>
  <r>
    <s v="ORD1487"/>
    <x v="1"/>
    <s v="Priya"/>
    <x v="1"/>
    <s v="Unknown"/>
    <x v="3"/>
    <s v="Unknown"/>
    <n v="3"/>
    <n v="12999"/>
    <n v="50"/>
    <n v="30000"/>
    <x v="4"/>
    <s v="In Transit"/>
    <n v="12999"/>
    <n v="38997"/>
    <s v="01-1900"/>
    <s v="High"/>
  </r>
  <r>
    <s v="ORD1523"/>
    <x v="3"/>
    <s v="Unknown"/>
    <x v="3"/>
    <s v="Unknown"/>
    <x v="3"/>
    <s v="Unknown"/>
    <n v="2"/>
    <n v="12999"/>
    <n v="15"/>
    <n v="0"/>
    <x v="2"/>
    <s v="Cancelled"/>
    <n v="22098.3"/>
    <n v="25998"/>
    <s v="02-2024"/>
    <s v="High"/>
  </r>
  <r>
    <s v="ORD1525"/>
    <x v="2"/>
    <s v="Dr. John"/>
    <x v="3"/>
    <s v="Tamil Nadu"/>
    <x v="2"/>
    <s v="Unknown"/>
    <n v="1"/>
    <n v="7830.7177904328155"/>
    <n v="50"/>
    <n v="30000"/>
    <x v="2"/>
    <s v="Unknown"/>
    <n v="3915.3588952164077"/>
    <n v="7830.7177904328155"/>
    <s v="01-2024"/>
    <s v="Normal"/>
  </r>
  <r>
    <s v="ORD1489"/>
    <x v="1"/>
    <s v="Dr. John"/>
    <x v="1"/>
    <s v="Maharashtra"/>
    <x v="1"/>
    <s v="Laptop"/>
    <n v="3"/>
    <n v="25999"/>
    <n v="5"/>
    <n v="30000"/>
    <x v="2"/>
    <s v="Delivered"/>
    <n v="12999"/>
    <n v="77997"/>
    <s v="01-1900"/>
    <s v="High"/>
  </r>
  <r>
    <s v="ORD1527"/>
    <x v="1"/>
    <s v="Priya"/>
    <x v="2"/>
    <s v="Tamil Nadu"/>
    <x v="2"/>
    <s v="Shirt"/>
    <n v="3"/>
    <n v="799.5"/>
    <n v="50"/>
    <n v="30000"/>
    <x v="0"/>
    <s v="Cancelled"/>
    <n v="1199.25"/>
    <n v="2398.5"/>
    <s v="01-1900"/>
    <s v="Normal"/>
  </r>
  <r>
    <s v="ORD1492"/>
    <x v="1"/>
    <s v="Unknown"/>
    <x v="2"/>
    <s v="Unknown"/>
    <x v="3"/>
    <s v="Table"/>
    <n v="1"/>
    <n v="25999"/>
    <n v="10"/>
    <n v="0"/>
    <x v="2"/>
    <s v="Returned"/>
    <n v="12349.05"/>
    <n v="25999"/>
    <s v="01-1900"/>
    <s v="High"/>
  </r>
  <r>
    <s v="ORD1501"/>
    <x v="1"/>
    <s v="Ms. Ananya Iyer"/>
    <x v="0"/>
    <s v="Unknown"/>
    <x v="3"/>
    <s v="Table"/>
    <n v="3"/>
    <n v="12999"/>
    <n v="0"/>
    <n v="30000"/>
    <x v="2"/>
    <s v="Delivered"/>
    <n v="12349.05"/>
    <n v="38997"/>
    <s v="01-1900"/>
    <s v="High"/>
  </r>
  <r>
    <s v="ORD1504"/>
    <x v="1"/>
    <s v="Unknown"/>
    <x v="0"/>
    <s v="Tamil Nadu"/>
    <x v="2"/>
    <s v="Unknown"/>
    <n v="4"/>
    <n v="7830.7177904328155"/>
    <n v="5"/>
    <n v="30000"/>
    <x v="2"/>
    <s v="Returned"/>
    <n v="11746.076685649223"/>
    <n v="31322.871161731262"/>
    <s v="01-1900"/>
    <s v="High"/>
  </r>
  <r>
    <s v="ORD1531"/>
    <x v="3"/>
    <s v="Unknown"/>
    <x v="3"/>
    <s v="Karnataka"/>
    <x v="3"/>
    <s v="Shirt"/>
    <n v="3"/>
    <n v="799.5"/>
    <n v="50"/>
    <n v="0"/>
    <x v="4"/>
    <s v="Cancelled"/>
    <n v="1199.25"/>
    <n v="2398.5"/>
    <s v="02-2024"/>
    <s v="Normal"/>
  </r>
  <r>
    <s v="ORD1508"/>
    <x v="1"/>
    <s v="Priya"/>
    <x v="0"/>
    <s v="Tamil Nadu"/>
    <x v="1"/>
    <s v="Table"/>
    <n v="3"/>
    <n v="12999"/>
    <n v="0"/>
    <n v="499.99"/>
    <x v="0"/>
    <s v="In Transit"/>
    <n v="11746.076685649223"/>
    <n v="38997"/>
    <s v="01-1900"/>
    <s v="High"/>
  </r>
  <r>
    <s v="ORD1534"/>
    <x v="1"/>
    <s v="Unknown"/>
    <x v="4"/>
    <s v="Maharashtra"/>
    <x v="3"/>
    <s v="Laptop"/>
    <n v="1"/>
    <n v="799.5"/>
    <n v="50"/>
    <n v="0"/>
    <x v="1"/>
    <s v="Returned"/>
    <n v="399.75"/>
    <n v="799.5"/>
    <s v="01-1900"/>
    <s v="Normal"/>
  </r>
  <r>
    <s v="ORD1513"/>
    <x v="1"/>
    <s v="Priya"/>
    <x v="4"/>
    <s v="Tamil Nadu"/>
    <x v="3"/>
    <s v="Laptop"/>
    <n v="2"/>
    <n v="12999"/>
    <n v="0"/>
    <n v="15000"/>
    <x v="2"/>
    <s v="Returned"/>
    <n v="11746.076685649223"/>
    <n v="25998"/>
    <s v="01-1900"/>
    <s v="High"/>
  </r>
  <r>
    <s v="ORD1538"/>
    <x v="1"/>
    <s v="Mr. Rahul Sharma"/>
    <x v="1"/>
    <s v="Karnataka"/>
    <x v="3"/>
    <s v="Mobile"/>
    <n v="2"/>
    <n v="799.5"/>
    <n v="0"/>
    <n v="0"/>
    <x v="2"/>
    <s v="Returned"/>
    <n v="1599"/>
    <n v="1599"/>
    <s v="01-1900"/>
    <s v="Normal"/>
  </r>
  <r>
    <s v="ORD1539"/>
    <x v="1"/>
    <s v="Ms. Ananya Iyer"/>
    <x v="1"/>
    <s v="Unknown"/>
    <x v="2"/>
    <s v="Chair"/>
    <n v="1"/>
    <n v="499.99"/>
    <n v="50"/>
    <n v="30000"/>
    <x v="3"/>
    <s v="Unknown"/>
    <n v="249.995"/>
    <n v="499.99"/>
    <s v="01-1900"/>
    <s v="Normal"/>
  </r>
  <r>
    <s v="ORD1540"/>
    <x v="1"/>
    <s v="Unknown"/>
    <x v="4"/>
    <s v="Maharashtra"/>
    <x v="0"/>
    <s v="Table"/>
    <n v="4"/>
    <n v="799.5"/>
    <n v="0"/>
    <n v="499.99"/>
    <x v="1"/>
    <s v="Delivered"/>
    <n v="3198"/>
    <n v="3198"/>
    <s v="01-1900"/>
    <s v="Normal"/>
  </r>
  <r>
    <s v="ORD1541"/>
    <x v="2"/>
    <s v="Unknown"/>
    <x v="3"/>
    <s v="Maharashtra"/>
    <x v="3"/>
    <s v="Unknown"/>
    <n v="1"/>
    <n v="7830.7177904328155"/>
    <n v="15"/>
    <n v="30000"/>
    <x v="3"/>
    <s v="Returned"/>
    <n v="6656.1101218678932"/>
    <n v="7830.7177904328155"/>
    <s v="01-2024"/>
    <s v="Normal"/>
  </r>
  <r>
    <s v="ORD1542"/>
    <x v="1"/>
    <s v="Dr. John"/>
    <x v="2"/>
    <s v="Karnataka"/>
    <x v="2"/>
    <s v="Shirt"/>
    <n v="1"/>
    <n v="799.5"/>
    <n v="10"/>
    <n v="499.99"/>
    <x v="4"/>
    <s v="In Transit"/>
    <n v="719.55000000000007"/>
    <n v="799.5"/>
    <s v="01-1900"/>
    <s v="Normal"/>
  </r>
  <r>
    <s v="ORD1522"/>
    <x v="1"/>
    <s v="Mr. Rahul Sharma"/>
    <x v="1"/>
    <s v="Unknown"/>
    <x v="3"/>
    <s v="Unknown"/>
    <n v="3"/>
    <n v="12999"/>
    <n v="0"/>
    <n v="30000"/>
    <x v="1"/>
    <s v="Unknown"/>
    <n v="11699.1"/>
    <n v="38997"/>
    <s v="01-1900"/>
    <s v="High"/>
  </r>
  <r>
    <s v="ORD1544"/>
    <x v="0"/>
    <s v="Priya"/>
    <x v="2"/>
    <s v="Unknown"/>
    <x v="0"/>
    <s v="Table"/>
    <n v="1"/>
    <n v="7830.7177904328155"/>
    <n v="5"/>
    <n v="30000"/>
    <x v="0"/>
    <s v="Unknown"/>
    <n v="7439.1819009111741"/>
    <n v="7830.7177904328155"/>
    <s v="03-2024"/>
    <s v="Normal"/>
  </r>
  <r>
    <s v="ORD1529"/>
    <x v="1"/>
    <s v="Unknown"/>
    <x v="3"/>
    <s v="Unknown"/>
    <x v="0"/>
    <s v="Mobile"/>
    <n v="2"/>
    <n v="7830.7177904328155"/>
    <n v="15"/>
    <n v="0"/>
    <x v="3"/>
    <s v="Unknown"/>
    <n v="11699.1"/>
    <n v="15661.435580865631"/>
    <s v="01-1900"/>
    <s v="High"/>
  </r>
  <r>
    <s v="ORD1545"/>
    <x v="1"/>
    <s v="Dr. John"/>
    <x v="3"/>
    <s v="Tamil Nadu"/>
    <x v="3"/>
    <s v="Shirt"/>
    <n v="3"/>
    <n v="7830.7177904328155"/>
    <n v="50"/>
    <n v="0"/>
    <x v="2"/>
    <s v="Delivered"/>
    <n v="11049.15"/>
    <n v="23492.153371298446"/>
    <s v="01-1900"/>
    <s v="High"/>
  </r>
  <r>
    <s v="ORD1548"/>
    <x v="0"/>
    <s v="Unknown"/>
    <x v="4"/>
    <s v="Maharashtra"/>
    <x v="1"/>
    <s v="Chair"/>
    <n v="1"/>
    <n v="7830.7177904328155"/>
    <n v="15"/>
    <n v="499.99"/>
    <x v="2"/>
    <s v="Unknown"/>
    <n v="6656.1101218678932"/>
    <n v="7830.7177904328155"/>
    <s v="03-2024"/>
    <s v="Normal"/>
  </r>
  <r>
    <s v="ORD1549"/>
    <x v="3"/>
    <s v="Ms. Ananya Iyer"/>
    <x v="3"/>
    <s v="Unknown"/>
    <x v="0"/>
    <s v="Unknown"/>
    <n v="3"/>
    <n v="799.5"/>
    <n v="5"/>
    <n v="499.99"/>
    <x v="2"/>
    <s v="In Transit"/>
    <n v="2278.5749999999998"/>
    <n v="2398.5"/>
    <s v="02-2024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30000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30000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15000"/>
    <x v="5"/>
    <m/>
    <m/>
    <n v="0"/>
    <s v="01-1900"/>
    <s v="Normal"/>
  </r>
  <r>
    <m/>
    <x v="1"/>
    <m/>
    <x v="5"/>
    <m/>
    <x v="4"/>
    <m/>
    <m/>
    <m/>
    <m/>
    <n v="15000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3000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1500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30000"/>
    <x v="5"/>
    <m/>
    <m/>
    <n v="0"/>
    <s v="01-1900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  <r>
    <m/>
    <x v="1"/>
    <m/>
    <x v="5"/>
    <m/>
    <x v="4"/>
    <m/>
    <m/>
    <m/>
    <m/>
    <n v="499.99"/>
    <x v="5"/>
    <m/>
    <m/>
    <n v="0"/>
    <s v="01-1900"/>
    <s v="Normal"/>
  </r>
  <r>
    <m/>
    <x v="1"/>
    <m/>
    <x v="5"/>
    <m/>
    <x v="4"/>
    <m/>
    <m/>
    <m/>
    <m/>
    <n v="-500"/>
    <x v="5"/>
    <m/>
    <m/>
    <n v="0"/>
    <s v="01-1900"/>
    <s v="Normal"/>
  </r>
  <r>
    <m/>
    <x v="1"/>
    <m/>
    <x v="5"/>
    <m/>
    <x v="4"/>
    <m/>
    <m/>
    <m/>
    <m/>
    <n v="0"/>
    <x v="5"/>
    <m/>
    <m/>
    <n v="0"/>
    <s v="01-190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08641-7E9B-44F0-BB16-AE54ECF02D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G3:I10" firstHeaderRow="0" firstDataRow="1" firstDataCol="1"/>
  <pivotFields count="19"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13" baseField="0" baseItem="0"/>
    <dataField name="Sum of Gross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FBA62-DF4C-447A-8CD3-9C05B4F316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C3:E9" firstHeaderRow="0" firstDataRow="1" firstDataCol="1"/>
  <pivotFields count="19"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13" baseField="0" baseItem="0"/>
    <dataField name="Sum of Gross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15D2A-0993-4B73-834C-D2F98190EF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status">
  <location ref="F14:G21" firstHeaderRow="1" firstDataRow="1" firstDataCol="1"/>
  <pivotFields count="19">
    <pivotField dataField="1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workbookViewId="0">
      <selection activeCell="Q3" sqref="Q3"/>
    </sheetView>
  </sheetViews>
  <sheetFormatPr defaultRowHeight="14.4" x14ac:dyDescent="0.3"/>
  <cols>
    <col min="1" max="1" width="14.44140625" customWidth="1"/>
    <col min="2" max="2" width="17.5546875" style="5" bestFit="1" customWidth="1"/>
    <col min="3" max="3" width="14.77734375" customWidth="1"/>
    <col min="4" max="4" width="15.21875" customWidth="1"/>
    <col min="5" max="5" width="14.33203125" customWidth="1"/>
    <col min="6" max="6" width="17.33203125" customWidth="1"/>
    <col min="7" max="8" width="13.21875" customWidth="1"/>
    <col min="9" max="9" width="11.6640625" customWidth="1"/>
    <col min="10" max="10" width="19.109375" customWidth="1"/>
    <col min="11" max="11" width="17.5546875" style="3" customWidth="1"/>
    <col min="12" max="12" width="19.44140625" customWidth="1"/>
    <col min="13" max="13" width="16.6640625" customWidth="1"/>
    <col min="14" max="14" width="12" bestFit="1" customWidth="1"/>
    <col min="15" max="15" width="9.21875" bestFit="1" customWidth="1"/>
    <col min="16" max="16" width="15.88671875" bestFit="1" customWidth="1"/>
    <col min="17" max="17" width="11" bestFit="1" customWidth="1"/>
  </cols>
  <sheetData>
    <row r="1" spans="1:17" s="1" customFormat="1" x14ac:dyDescent="0.3">
      <c r="A1" s="1" t="s">
        <v>0</v>
      </c>
      <c r="B1" s="4" t="s">
        <v>554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553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555</v>
      </c>
      <c r="O1" s="1" t="s">
        <v>556</v>
      </c>
      <c r="P1" s="1" t="s">
        <v>557</v>
      </c>
      <c r="Q1" s="1" t="s">
        <v>558</v>
      </c>
    </row>
    <row r="2" spans="1:17" x14ac:dyDescent="0.3">
      <c r="A2" t="s">
        <v>11</v>
      </c>
      <c r="B2" s="5">
        <v>45376</v>
      </c>
      <c r="C2" t="s">
        <v>12</v>
      </c>
      <c r="D2" t="s">
        <v>13</v>
      </c>
      <c r="E2" t="s">
        <v>552</v>
      </c>
      <c r="F2" t="s">
        <v>14</v>
      </c>
      <c r="G2" t="s">
        <v>15</v>
      </c>
      <c r="H2">
        <v>1</v>
      </c>
      <c r="I2">
        <v>7830.7177904328155</v>
      </c>
      <c r="J2">
        <v>15</v>
      </c>
      <c r="K2" s="3">
        <v>-500</v>
      </c>
      <c r="L2" t="s">
        <v>552</v>
      </c>
      <c r="M2" t="s">
        <v>16</v>
      </c>
      <c r="N2">
        <v>6656.1101218678932</v>
      </c>
      <c r="O2">
        <f t="shared" ref="O2:O65" si="0">H2*I2</f>
        <v>7830.7177904328155</v>
      </c>
      <c r="P2" t="str">
        <f t="shared" ref="P2:P65" si="1">TEXT(B2,"MM-YYYY")</f>
        <v>03-2024</v>
      </c>
      <c r="Q2" t="str">
        <f t="shared" ref="Q2:Q65" si="2">IF(N2&gt;10000,"High","Normal")</f>
        <v>Normal</v>
      </c>
    </row>
    <row r="3" spans="1:17" x14ac:dyDescent="0.3">
      <c r="A3" t="s">
        <v>51</v>
      </c>
      <c r="B3" s="5">
        <v>45376</v>
      </c>
      <c r="C3" t="s">
        <v>552</v>
      </c>
      <c r="D3" t="s">
        <v>52</v>
      </c>
      <c r="E3" t="s">
        <v>36</v>
      </c>
      <c r="F3" t="s">
        <v>19</v>
      </c>
      <c r="G3" t="s">
        <v>20</v>
      </c>
      <c r="H3">
        <v>4</v>
      </c>
      <c r="I3">
        <v>7830.7177904328155</v>
      </c>
      <c r="J3">
        <v>0</v>
      </c>
      <c r="K3" s="3">
        <v>499.99</v>
      </c>
      <c r="L3" t="s">
        <v>53</v>
      </c>
      <c r="M3" t="s">
        <v>33</v>
      </c>
      <c r="N3">
        <v>103996</v>
      </c>
      <c r="O3">
        <f t="shared" si="0"/>
        <v>31322.871161731262</v>
      </c>
      <c r="P3" t="str">
        <f t="shared" si="1"/>
        <v>03-2024</v>
      </c>
      <c r="Q3" t="str">
        <f t="shared" si="2"/>
        <v>High</v>
      </c>
    </row>
    <row r="4" spans="1:17" x14ac:dyDescent="0.3">
      <c r="A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>
        <v>1</v>
      </c>
      <c r="I4">
        <v>799.5</v>
      </c>
      <c r="J4">
        <v>0</v>
      </c>
      <c r="K4" s="3">
        <v>0</v>
      </c>
      <c r="L4" t="s">
        <v>39</v>
      </c>
      <c r="M4" t="s">
        <v>552</v>
      </c>
      <c r="N4">
        <v>799.5</v>
      </c>
      <c r="O4">
        <f t="shared" si="0"/>
        <v>799.5</v>
      </c>
      <c r="P4" t="str">
        <f t="shared" si="1"/>
        <v>01-1900</v>
      </c>
      <c r="Q4" t="str">
        <f t="shared" si="2"/>
        <v>Normal</v>
      </c>
    </row>
    <row r="5" spans="1:17" x14ac:dyDescent="0.3">
      <c r="A5" t="s">
        <v>26</v>
      </c>
      <c r="B5" s="5">
        <v>45306</v>
      </c>
      <c r="C5" t="s">
        <v>27</v>
      </c>
      <c r="D5" t="s">
        <v>44</v>
      </c>
      <c r="E5" t="s">
        <v>552</v>
      </c>
      <c r="F5" t="s">
        <v>552</v>
      </c>
      <c r="G5" t="s">
        <v>28</v>
      </c>
      <c r="H5">
        <v>1</v>
      </c>
      <c r="I5">
        <v>499.99</v>
      </c>
      <c r="J5">
        <v>0</v>
      </c>
      <c r="K5" s="3">
        <v>30000</v>
      </c>
      <c r="L5" t="s">
        <v>29</v>
      </c>
      <c r="M5" t="s">
        <v>30</v>
      </c>
      <c r="N5">
        <v>499.99</v>
      </c>
      <c r="O5">
        <f t="shared" si="0"/>
        <v>499.99</v>
      </c>
      <c r="P5" t="str">
        <f t="shared" si="1"/>
        <v>01-2024</v>
      </c>
      <c r="Q5" t="str">
        <f t="shared" si="2"/>
        <v>Normal</v>
      </c>
    </row>
    <row r="6" spans="1:17" x14ac:dyDescent="0.3">
      <c r="A6" t="s">
        <v>58</v>
      </c>
      <c r="B6" s="5">
        <v>45376</v>
      </c>
      <c r="C6" t="s">
        <v>552</v>
      </c>
      <c r="D6" t="s">
        <v>13</v>
      </c>
      <c r="E6" t="s">
        <v>18</v>
      </c>
      <c r="F6" t="s">
        <v>552</v>
      </c>
      <c r="G6" t="s">
        <v>20</v>
      </c>
      <c r="H6">
        <v>4</v>
      </c>
      <c r="I6">
        <v>7830.7177904328155</v>
      </c>
      <c r="J6">
        <v>0</v>
      </c>
      <c r="K6" s="3">
        <v>30000</v>
      </c>
      <c r="L6" t="s">
        <v>49</v>
      </c>
      <c r="M6" t="s">
        <v>552</v>
      </c>
      <c r="N6">
        <v>93596.400000000009</v>
      </c>
      <c r="O6">
        <f t="shared" si="0"/>
        <v>31322.871161731262</v>
      </c>
      <c r="P6" t="str">
        <f t="shared" si="1"/>
        <v>03-2024</v>
      </c>
      <c r="Q6" t="str">
        <f t="shared" si="2"/>
        <v>High</v>
      </c>
    </row>
    <row r="7" spans="1:17" x14ac:dyDescent="0.3">
      <c r="A7" t="s">
        <v>59</v>
      </c>
      <c r="B7" s="5">
        <v>45376</v>
      </c>
      <c r="C7" t="s">
        <v>552</v>
      </c>
      <c r="D7" t="s">
        <v>52</v>
      </c>
      <c r="E7" t="s">
        <v>552</v>
      </c>
      <c r="F7" t="s">
        <v>552</v>
      </c>
      <c r="G7" t="s">
        <v>60</v>
      </c>
      <c r="H7">
        <v>2</v>
      </c>
      <c r="I7">
        <v>7830.7177904328155</v>
      </c>
      <c r="J7">
        <v>5</v>
      </c>
      <c r="K7" s="3">
        <v>0</v>
      </c>
      <c r="L7" t="s">
        <v>39</v>
      </c>
      <c r="M7" t="s">
        <v>30</v>
      </c>
      <c r="N7">
        <v>88396.599999999991</v>
      </c>
      <c r="O7">
        <f t="shared" si="0"/>
        <v>15661.435580865631</v>
      </c>
      <c r="P7" t="str">
        <f t="shared" si="1"/>
        <v>03-2024</v>
      </c>
      <c r="Q7" t="str">
        <f t="shared" si="2"/>
        <v>High</v>
      </c>
    </row>
    <row r="8" spans="1:17" x14ac:dyDescent="0.3">
      <c r="A8" t="s">
        <v>35</v>
      </c>
      <c r="B8" s="5">
        <v>45376</v>
      </c>
      <c r="C8" t="s">
        <v>552</v>
      </c>
      <c r="D8" t="s">
        <v>13</v>
      </c>
      <c r="E8" t="s">
        <v>36</v>
      </c>
      <c r="F8" t="s">
        <v>19</v>
      </c>
      <c r="G8" t="s">
        <v>15</v>
      </c>
      <c r="H8">
        <v>1</v>
      </c>
      <c r="I8">
        <v>12999</v>
      </c>
      <c r="J8">
        <v>10</v>
      </c>
      <c r="K8" s="3">
        <v>499.99</v>
      </c>
      <c r="L8" t="s">
        <v>39</v>
      </c>
      <c r="M8" t="s">
        <v>37</v>
      </c>
      <c r="N8">
        <v>11699.1</v>
      </c>
      <c r="O8">
        <f t="shared" si="0"/>
        <v>12999</v>
      </c>
      <c r="P8" t="str">
        <f t="shared" si="1"/>
        <v>03-2024</v>
      </c>
      <c r="Q8" t="str">
        <f t="shared" si="2"/>
        <v>High</v>
      </c>
    </row>
    <row r="9" spans="1:17" x14ac:dyDescent="0.3">
      <c r="A9" t="s">
        <v>38</v>
      </c>
      <c r="B9" s="5">
        <v>45376</v>
      </c>
      <c r="C9" t="s">
        <v>22</v>
      </c>
      <c r="D9" t="s">
        <v>552</v>
      </c>
      <c r="E9" t="s">
        <v>552</v>
      </c>
      <c r="F9" t="s">
        <v>19</v>
      </c>
      <c r="G9" t="s">
        <v>15</v>
      </c>
      <c r="H9">
        <v>1</v>
      </c>
      <c r="I9">
        <v>25999</v>
      </c>
      <c r="J9">
        <v>5</v>
      </c>
      <c r="K9" s="3">
        <v>0</v>
      </c>
      <c r="L9" t="s">
        <v>39</v>
      </c>
      <c r="M9" t="s">
        <v>37</v>
      </c>
      <c r="N9">
        <v>24699.05</v>
      </c>
      <c r="O9">
        <f t="shared" si="0"/>
        <v>25999</v>
      </c>
      <c r="P9" t="str">
        <f t="shared" si="1"/>
        <v>03-2024</v>
      </c>
      <c r="Q9" t="str">
        <f t="shared" si="2"/>
        <v>High</v>
      </c>
    </row>
    <row r="10" spans="1:17" x14ac:dyDescent="0.3">
      <c r="A10" t="s">
        <v>40</v>
      </c>
      <c r="B10" s="5">
        <v>45376</v>
      </c>
      <c r="C10" t="s">
        <v>552</v>
      </c>
      <c r="D10" t="s">
        <v>23</v>
      </c>
      <c r="E10" t="s">
        <v>24</v>
      </c>
      <c r="F10" t="s">
        <v>14</v>
      </c>
      <c r="G10" t="s">
        <v>20</v>
      </c>
      <c r="H10">
        <v>4</v>
      </c>
      <c r="I10">
        <v>799.5</v>
      </c>
      <c r="J10">
        <v>10</v>
      </c>
      <c r="K10" s="3">
        <v>-500</v>
      </c>
      <c r="L10" t="s">
        <v>552</v>
      </c>
      <c r="M10" t="s">
        <v>37</v>
      </c>
      <c r="N10">
        <v>2878.2000000000003</v>
      </c>
      <c r="O10">
        <f t="shared" si="0"/>
        <v>3198</v>
      </c>
      <c r="P10" t="str">
        <f t="shared" si="1"/>
        <v>03-2024</v>
      </c>
      <c r="Q10" t="str">
        <f t="shared" si="2"/>
        <v>Normal</v>
      </c>
    </row>
    <row r="11" spans="1:17" x14ac:dyDescent="0.3">
      <c r="A11" t="s">
        <v>41</v>
      </c>
      <c r="B11" s="5">
        <v>45376</v>
      </c>
      <c r="C11" t="s">
        <v>12</v>
      </c>
      <c r="D11" t="s">
        <v>23</v>
      </c>
      <c r="E11" t="s">
        <v>24</v>
      </c>
      <c r="F11" t="s">
        <v>19</v>
      </c>
      <c r="G11" t="s">
        <v>552</v>
      </c>
      <c r="H11">
        <v>2</v>
      </c>
      <c r="I11">
        <v>499.99</v>
      </c>
      <c r="J11">
        <v>15</v>
      </c>
      <c r="K11" s="3">
        <v>0</v>
      </c>
      <c r="L11" t="s">
        <v>39</v>
      </c>
      <c r="M11" t="s">
        <v>30</v>
      </c>
      <c r="N11">
        <v>849.98299999999995</v>
      </c>
      <c r="O11">
        <f t="shared" si="0"/>
        <v>999.98</v>
      </c>
      <c r="P11" t="str">
        <f t="shared" si="1"/>
        <v>03-2024</v>
      </c>
      <c r="Q11" t="str">
        <f t="shared" si="2"/>
        <v>Normal</v>
      </c>
    </row>
    <row r="12" spans="1:17" x14ac:dyDescent="0.3">
      <c r="A12" t="s">
        <v>61</v>
      </c>
      <c r="B12" s="5">
        <v>45376</v>
      </c>
      <c r="C12" t="s">
        <v>12</v>
      </c>
      <c r="D12" t="s">
        <v>552</v>
      </c>
      <c r="E12" t="s">
        <v>552</v>
      </c>
      <c r="F12" t="s">
        <v>14</v>
      </c>
      <c r="G12" t="s">
        <v>552</v>
      </c>
      <c r="H12">
        <v>4</v>
      </c>
      <c r="I12">
        <v>7830.7177904328155</v>
      </c>
      <c r="J12">
        <v>10</v>
      </c>
      <c r="K12" s="3">
        <v>0</v>
      </c>
      <c r="L12" t="s">
        <v>552</v>
      </c>
      <c r="M12" t="s">
        <v>16</v>
      </c>
      <c r="N12">
        <v>88396.599999999991</v>
      </c>
      <c r="O12">
        <f t="shared" si="0"/>
        <v>31322.871161731262</v>
      </c>
      <c r="P12" t="str">
        <f t="shared" si="1"/>
        <v>03-2024</v>
      </c>
      <c r="Q12" t="str">
        <f t="shared" si="2"/>
        <v>High</v>
      </c>
    </row>
    <row r="13" spans="1:17" x14ac:dyDescent="0.3">
      <c r="A13" t="s">
        <v>74</v>
      </c>
      <c r="B13" s="5">
        <v>45376</v>
      </c>
      <c r="C13" t="s">
        <v>552</v>
      </c>
      <c r="D13" t="s">
        <v>23</v>
      </c>
      <c r="E13" t="s">
        <v>24</v>
      </c>
      <c r="F13" t="s">
        <v>552</v>
      </c>
      <c r="G13" t="s">
        <v>552</v>
      </c>
      <c r="H13">
        <v>1</v>
      </c>
      <c r="I13">
        <v>25999</v>
      </c>
      <c r="J13">
        <v>15</v>
      </c>
      <c r="K13" s="3">
        <v>0</v>
      </c>
      <c r="L13" t="s">
        <v>53</v>
      </c>
      <c r="M13" t="s">
        <v>552</v>
      </c>
      <c r="N13">
        <v>77997</v>
      </c>
      <c r="O13">
        <f t="shared" si="0"/>
        <v>25999</v>
      </c>
      <c r="P13" t="str">
        <f t="shared" si="1"/>
        <v>03-2024</v>
      </c>
      <c r="Q13" t="str">
        <f t="shared" si="2"/>
        <v>High</v>
      </c>
    </row>
    <row r="14" spans="1:17" x14ac:dyDescent="0.3">
      <c r="A14" t="s">
        <v>45</v>
      </c>
      <c r="B14" s="5">
        <v>45306</v>
      </c>
      <c r="C14" t="s">
        <v>552</v>
      </c>
      <c r="D14" t="s">
        <v>552</v>
      </c>
      <c r="E14" t="s">
        <v>552</v>
      </c>
      <c r="F14" t="s">
        <v>19</v>
      </c>
      <c r="G14" t="s">
        <v>28</v>
      </c>
      <c r="H14">
        <v>4</v>
      </c>
      <c r="I14">
        <v>499.99</v>
      </c>
      <c r="J14">
        <v>0</v>
      </c>
      <c r="K14" s="3">
        <v>0</v>
      </c>
      <c r="L14" t="s">
        <v>552</v>
      </c>
      <c r="M14" t="s">
        <v>552</v>
      </c>
      <c r="N14">
        <v>1999.96</v>
      </c>
      <c r="O14">
        <f t="shared" si="0"/>
        <v>1999.96</v>
      </c>
      <c r="P14" t="str">
        <f t="shared" si="1"/>
        <v>01-2024</v>
      </c>
      <c r="Q14" t="str">
        <f t="shared" si="2"/>
        <v>Normal</v>
      </c>
    </row>
    <row r="15" spans="1:17" x14ac:dyDescent="0.3">
      <c r="A15" t="s">
        <v>46</v>
      </c>
      <c r="B15" s="5">
        <v>45306</v>
      </c>
      <c r="C15" t="s">
        <v>552</v>
      </c>
      <c r="D15" t="s">
        <v>552</v>
      </c>
      <c r="E15" t="s">
        <v>24</v>
      </c>
      <c r="F15" t="s">
        <v>552</v>
      </c>
      <c r="G15" t="s">
        <v>47</v>
      </c>
      <c r="H15">
        <v>3</v>
      </c>
      <c r="I15">
        <v>799.5</v>
      </c>
      <c r="J15">
        <v>5</v>
      </c>
      <c r="K15" s="3">
        <v>30000</v>
      </c>
      <c r="L15" t="s">
        <v>29</v>
      </c>
      <c r="M15" t="s">
        <v>552</v>
      </c>
      <c r="N15">
        <v>2278.5749999999998</v>
      </c>
      <c r="O15">
        <f t="shared" si="0"/>
        <v>2398.5</v>
      </c>
      <c r="P15" t="str">
        <f t="shared" si="1"/>
        <v>01-2024</v>
      </c>
      <c r="Q15" t="str">
        <f t="shared" si="2"/>
        <v>Normal</v>
      </c>
    </row>
    <row r="16" spans="1:17" x14ac:dyDescent="0.3">
      <c r="A16" t="s">
        <v>48</v>
      </c>
      <c r="C16" t="s">
        <v>552</v>
      </c>
      <c r="D16" t="s">
        <v>23</v>
      </c>
      <c r="E16" t="s">
        <v>24</v>
      </c>
      <c r="F16" t="s">
        <v>19</v>
      </c>
      <c r="G16" t="s">
        <v>47</v>
      </c>
      <c r="H16">
        <v>3</v>
      </c>
      <c r="I16">
        <v>499.99</v>
      </c>
      <c r="J16">
        <v>0</v>
      </c>
      <c r="K16" s="3">
        <v>0</v>
      </c>
      <c r="L16" t="s">
        <v>49</v>
      </c>
      <c r="M16" t="s">
        <v>552</v>
      </c>
      <c r="N16">
        <v>1499.97</v>
      </c>
      <c r="O16">
        <f t="shared" si="0"/>
        <v>1499.97</v>
      </c>
      <c r="P16" t="str">
        <f t="shared" si="1"/>
        <v>01-1900</v>
      </c>
      <c r="Q16" t="str">
        <f t="shared" si="2"/>
        <v>Normal</v>
      </c>
    </row>
    <row r="17" spans="1:17" x14ac:dyDescent="0.3">
      <c r="A17" t="s">
        <v>50</v>
      </c>
      <c r="C17" t="s">
        <v>27</v>
      </c>
      <c r="D17" t="s">
        <v>13</v>
      </c>
      <c r="E17" t="s">
        <v>24</v>
      </c>
      <c r="F17" t="s">
        <v>25</v>
      </c>
      <c r="G17" t="s">
        <v>47</v>
      </c>
      <c r="H17">
        <v>1</v>
      </c>
      <c r="I17">
        <v>12999</v>
      </c>
      <c r="J17">
        <v>50</v>
      </c>
      <c r="K17" s="3">
        <v>15000</v>
      </c>
      <c r="L17" t="s">
        <v>39</v>
      </c>
      <c r="M17" t="s">
        <v>33</v>
      </c>
      <c r="N17">
        <v>6499.5</v>
      </c>
      <c r="O17">
        <f t="shared" si="0"/>
        <v>12999</v>
      </c>
      <c r="P17" t="str">
        <f t="shared" si="1"/>
        <v>01-1900</v>
      </c>
      <c r="Q17" t="str">
        <f t="shared" si="2"/>
        <v>Normal</v>
      </c>
    </row>
    <row r="18" spans="1:17" x14ac:dyDescent="0.3">
      <c r="A18" t="s">
        <v>89</v>
      </c>
      <c r="B18" s="5">
        <v>45376</v>
      </c>
      <c r="C18" t="s">
        <v>12</v>
      </c>
      <c r="D18" t="s">
        <v>52</v>
      </c>
      <c r="E18" t="s">
        <v>36</v>
      </c>
      <c r="F18" t="s">
        <v>14</v>
      </c>
      <c r="G18" t="s">
        <v>47</v>
      </c>
      <c r="H18">
        <v>1</v>
      </c>
      <c r="I18">
        <v>25999</v>
      </c>
      <c r="J18">
        <v>5</v>
      </c>
      <c r="K18" s="3">
        <v>30000</v>
      </c>
      <c r="L18" t="s">
        <v>53</v>
      </c>
      <c r="M18" t="s">
        <v>33</v>
      </c>
      <c r="N18">
        <v>74097.149999999994</v>
      </c>
      <c r="O18">
        <f t="shared" si="0"/>
        <v>25999</v>
      </c>
      <c r="P18" t="str">
        <f t="shared" si="1"/>
        <v>03-2024</v>
      </c>
      <c r="Q18" t="str">
        <f t="shared" si="2"/>
        <v>High</v>
      </c>
    </row>
    <row r="19" spans="1:17" x14ac:dyDescent="0.3">
      <c r="A19" t="s">
        <v>54</v>
      </c>
      <c r="C19" t="s">
        <v>12</v>
      </c>
      <c r="D19" t="s">
        <v>552</v>
      </c>
      <c r="E19" t="s">
        <v>552</v>
      </c>
      <c r="F19" t="s">
        <v>552</v>
      </c>
      <c r="G19" t="s">
        <v>552</v>
      </c>
      <c r="H19">
        <v>1</v>
      </c>
      <c r="I19">
        <v>7830.7177904328155</v>
      </c>
      <c r="J19">
        <v>15</v>
      </c>
      <c r="K19" s="3">
        <v>0</v>
      </c>
      <c r="L19" t="s">
        <v>29</v>
      </c>
      <c r="M19" t="s">
        <v>37</v>
      </c>
      <c r="N19">
        <v>6656.1101218678932</v>
      </c>
      <c r="O19">
        <f t="shared" si="0"/>
        <v>7830.7177904328155</v>
      </c>
      <c r="P19" t="str">
        <f t="shared" si="1"/>
        <v>01-1900</v>
      </c>
      <c r="Q19" t="str">
        <f t="shared" si="2"/>
        <v>Normal</v>
      </c>
    </row>
    <row r="20" spans="1:17" x14ac:dyDescent="0.3">
      <c r="A20" t="s">
        <v>103</v>
      </c>
      <c r="B20" s="5">
        <v>45376</v>
      </c>
      <c r="C20" t="s">
        <v>12</v>
      </c>
      <c r="D20" t="s">
        <v>552</v>
      </c>
      <c r="E20" t="s">
        <v>552</v>
      </c>
      <c r="F20" t="s">
        <v>19</v>
      </c>
      <c r="G20" t="s">
        <v>552</v>
      </c>
      <c r="H20">
        <v>3</v>
      </c>
      <c r="I20">
        <v>7830.7177904328155</v>
      </c>
      <c r="J20">
        <v>5</v>
      </c>
      <c r="K20" s="3">
        <v>0</v>
      </c>
      <c r="L20" t="s">
        <v>39</v>
      </c>
      <c r="M20" t="s">
        <v>552</v>
      </c>
      <c r="N20">
        <v>51998</v>
      </c>
      <c r="O20">
        <f t="shared" si="0"/>
        <v>23492.153371298446</v>
      </c>
      <c r="P20" t="str">
        <f t="shared" si="1"/>
        <v>03-2024</v>
      </c>
      <c r="Q20" t="str">
        <f t="shared" si="2"/>
        <v>High</v>
      </c>
    </row>
    <row r="21" spans="1:17" x14ac:dyDescent="0.3">
      <c r="A21" t="s">
        <v>56</v>
      </c>
      <c r="C21" t="s">
        <v>27</v>
      </c>
      <c r="D21" t="s">
        <v>552</v>
      </c>
      <c r="E21" t="s">
        <v>552</v>
      </c>
      <c r="F21" t="s">
        <v>14</v>
      </c>
      <c r="G21" t="s">
        <v>47</v>
      </c>
      <c r="H21">
        <v>2</v>
      </c>
      <c r="I21">
        <v>799.5</v>
      </c>
      <c r="J21">
        <v>50</v>
      </c>
      <c r="K21" s="3">
        <v>30000</v>
      </c>
      <c r="L21" t="s">
        <v>29</v>
      </c>
      <c r="M21" t="s">
        <v>30</v>
      </c>
      <c r="N21">
        <v>799.5</v>
      </c>
      <c r="O21">
        <f t="shared" si="0"/>
        <v>1599</v>
      </c>
      <c r="P21" t="str">
        <f t="shared" si="1"/>
        <v>01-1900</v>
      </c>
      <c r="Q21" t="str">
        <f t="shared" si="2"/>
        <v>Normal</v>
      </c>
    </row>
    <row r="22" spans="1:17" x14ac:dyDescent="0.3">
      <c r="A22" t="s">
        <v>57</v>
      </c>
      <c r="B22" s="5">
        <v>45376</v>
      </c>
      <c r="C22" t="s">
        <v>27</v>
      </c>
      <c r="D22" t="s">
        <v>52</v>
      </c>
      <c r="E22" t="s">
        <v>552</v>
      </c>
      <c r="F22" t="s">
        <v>19</v>
      </c>
      <c r="G22" t="s">
        <v>20</v>
      </c>
      <c r="H22">
        <v>4</v>
      </c>
      <c r="I22">
        <v>499.99</v>
      </c>
      <c r="J22">
        <v>10</v>
      </c>
      <c r="K22" s="3">
        <v>-500</v>
      </c>
      <c r="L22" t="s">
        <v>53</v>
      </c>
      <c r="M22" t="s">
        <v>16</v>
      </c>
      <c r="N22">
        <v>1799.9640000000002</v>
      </c>
      <c r="O22">
        <f t="shared" si="0"/>
        <v>1999.96</v>
      </c>
      <c r="P22" t="str">
        <f t="shared" si="1"/>
        <v>03-2024</v>
      </c>
      <c r="Q22" t="str">
        <f t="shared" si="2"/>
        <v>Normal</v>
      </c>
    </row>
    <row r="23" spans="1:17" x14ac:dyDescent="0.3">
      <c r="A23" t="s">
        <v>109</v>
      </c>
      <c r="B23" s="5">
        <v>45376</v>
      </c>
      <c r="C23" t="s">
        <v>22</v>
      </c>
      <c r="D23" t="s">
        <v>44</v>
      </c>
      <c r="E23" t="s">
        <v>24</v>
      </c>
      <c r="F23" t="s">
        <v>19</v>
      </c>
      <c r="G23" t="s">
        <v>552</v>
      </c>
      <c r="H23">
        <v>1</v>
      </c>
      <c r="I23">
        <v>12999</v>
      </c>
      <c r="J23">
        <v>5</v>
      </c>
      <c r="K23" s="3">
        <v>-500</v>
      </c>
      <c r="L23" t="s">
        <v>39</v>
      </c>
      <c r="M23" t="s">
        <v>552</v>
      </c>
      <c r="N23">
        <v>51996</v>
      </c>
      <c r="O23">
        <f t="shared" si="0"/>
        <v>12999</v>
      </c>
      <c r="P23" t="str">
        <f t="shared" si="1"/>
        <v>03-2024</v>
      </c>
      <c r="Q23" t="str">
        <f t="shared" si="2"/>
        <v>High</v>
      </c>
    </row>
    <row r="24" spans="1:17" x14ac:dyDescent="0.3">
      <c r="A24" t="s">
        <v>122</v>
      </c>
      <c r="B24" s="5">
        <v>45376</v>
      </c>
      <c r="C24" t="s">
        <v>22</v>
      </c>
      <c r="D24" t="s">
        <v>52</v>
      </c>
      <c r="E24" t="s">
        <v>552</v>
      </c>
      <c r="F24" t="s">
        <v>552</v>
      </c>
      <c r="G24" t="s">
        <v>552</v>
      </c>
      <c r="H24">
        <v>1</v>
      </c>
      <c r="I24">
        <v>25999</v>
      </c>
      <c r="J24">
        <v>0</v>
      </c>
      <c r="K24" s="3">
        <v>-500</v>
      </c>
      <c r="L24" t="s">
        <v>552</v>
      </c>
      <c r="M24" t="s">
        <v>552</v>
      </c>
      <c r="N24">
        <v>49398.1</v>
      </c>
      <c r="O24">
        <f t="shared" si="0"/>
        <v>25999</v>
      </c>
      <c r="P24" t="str">
        <f t="shared" si="1"/>
        <v>03-2024</v>
      </c>
      <c r="Q24" t="str">
        <f t="shared" si="2"/>
        <v>High</v>
      </c>
    </row>
    <row r="25" spans="1:17" x14ac:dyDescent="0.3">
      <c r="A25" t="s">
        <v>124</v>
      </c>
      <c r="B25" s="5">
        <v>45376</v>
      </c>
      <c r="C25" t="s">
        <v>32</v>
      </c>
      <c r="D25" t="s">
        <v>552</v>
      </c>
      <c r="E25" t="s">
        <v>18</v>
      </c>
      <c r="F25" t="s">
        <v>14</v>
      </c>
      <c r="G25" t="s">
        <v>47</v>
      </c>
      <c r="H25">
        <v>2</v>
      </c>
      <c r="I25">
        <v>7830.7177904328155</v>
      </c>
      <c r="J25">
        <v>0</v>
      </c>
      <c r="K25" s="3">
        <v>15000</v>
      </c>
      <c r="L25" t="s">
        <v>29</v>
      </c>
      <c r="M25" t="s">
        <v>30</v>
      </c>
      <c r="N25">
        <v>49398.1</v>
      </c>
      <c r="O25">
        <f t="shared" si="0"/>
        <v>15661.435580865631</v>
      </c>
      <c r="P25" t="str">
        <f t="shared" si="1"/>
        <v>03-2024</v>
      </c>
      <c r="Q25" t="str">
        <f t="shared" si="2"/>
        <v>High</v>
      </c>
    </row>
    <row r="26" spans="1:17" x14ac:dyDescent="0.3">
      <c r="A26" t="s">
        <v>62</v>
      </c>
      <c r="B26" s="5">
        <v>45306</v>
      </c>
      <c r="C26" t="s">
        <v>552</v>
      </c>
      <c r="D26" t="s">
        <v>552</v>
      </c>
      <c r="E26" t="s">
        <v>552</v>
      </c>
      <c r="F26" t="s">
        <v>14</v>
      </c>
      <c r="G26" t="s">
        <v>20</v>
      </c>
      <c r="H26">
        <v>1</v>
      </c>
      <c r="I26">
        <v>7830.7177904328155</v>
      </c>
      <c r="J26">
        <v>15</v>
      </c>
      <c r="K26" s="3">
        <v>30000</v>
      </c>
      <c r="L26" t="s">
        <v>49</v>
      </c>
      <c r="M26" t="s">
        <v>33</v>
      </c>
      <c r="N26">
        <v>6656.1101218678932</v>
      </c>
      <c r="O26">
        <f t="shared" si="0"/>
        <v>7830.7177904328155</v>
      </c>
      <c r="P26" t="str">
        <f t="shared" si="1"/>
        <v>01-2024</v>
      </c>
      <c r="Q26" t="str">
        <f t="shared" si="2"/>
        <v>Normal</v>
      </c>
    </row>
    <row r="27" spans="1:17" x14ac:dyDescent="0.3">
      <c r="A27" t="s">
        <v>63</v>
      </c>
      <c r="B27" s="5">
        <v>45337</v>
      </c>
      <c r="C27" t="s">
        <v>27</v>
      </c>
      <c r="D27" t="s">
        <v>52</v>
      </c>
      <c r="E27" t="s">
        <v>36</v>
      </c>
      <c r="F27" t="s">
        <v>552</v>
      </c>
      <c r="G27" t="s">
        <v>20</v>
      </c>
      <c r="H27">
        <v>1</v>
      </c>
      <c r="I27">
        <v>7830.7177904328155</v>
      </c>
      <c r="J27">
        <v>15</v>
      </c>
      <c r="K27" s="3">
        <v>30000</v>
      </c>
      <c r="L27" t="s">
        <v>53</v>
      </c>
      <c r="M27" t="s">
        <v>552</v>
      </c>
      <c r="N27">
        <v>6656.1101218678932</v>
      </c>
      <c r="O27">
        <f t="shared" si="0"/>
        <v>7830.7177904328155</v>
      </c>
      <c r="P27" t="str">
        <f t="shared" si="1"/>
        <v>02-2024</v>
      </c>
      <c r="Q27" t="str">
        <f t="shared" si="2"/>
        <v>Normal</v>
      </c>
    </row>
    <row r="28" spans="1:17" x14ac:dyDescent="0.3">
      <c r="A28" t="s">
        <v>64</v>
      </c>
      <c r="B28" s="5">
        <v>45306</v>
      </c>
      <c r="C28" t="s">
        <v>12</v>
      </c>
      <c r="D28" t="s">
        <v>552</v>
      </c>
      <c r="E28" t="s">
        <v>18</v>
      </c>
      <c r="F28" t="s">
        <v>552</v>
      </c>
      <c r="G28" t="s">
        <v>552</v>
      </c>
      <c r="H28">
        <v>1</v>
      </c>
      <c r="I28">
        <v>499.99</v>
      </c>
      <c r="J28">
        <v>5</v>
      </c>
      <c r="K28" s="3">
        <v>0</v>
      </c>
      <c r="L28" t="s">
        <v>39</v>
      </c>
      <c r="M28" t="s">
        <v>30</v>
      </c>
      <c r="N28">
        <v>474.9905</v>
      </c>
      <c r="O28">
        <f t="shared" si="0"/>
        <v>499.99</v>
      </c>
      <c r="P28" t="str">
        <f t="shared" si="1"/>
        <v>01-2024</v>
      </c>
      <c r="Q28" t="str">
        <f t="shared" si="2"/>
        <v>Normal</v>
      </c>
    </row>
    <row r="29" spans="1:17" x14ac:dyDescent="0.3">
      <c r="A29" t="s">
        <v>161</v>
      </c>
      <c r="B29" s="5">
        <v>45376</v>
      </c>
      <c r="C29" t="s">
        <v>552</v>
      </c>
      <c r="D29" t="s">
        <v>552</v>
      </c>
      <c r="E29" t="s">
        <v>552</v>
      </c>
      <c r="F29" t="s">
        <v>552</v>
      </c>
      <c r="G29" t="s">
        <v>28</v>
      </c>
      <c r="H29">
        <v>1</v>
      </c>
      <c r="I29">
        <v>25999</v>
      </c>
      <c r="J29">
        <v>10</v>
      </c>
      <c r="K29" s="3">
        <v>0</v>
      </c>
      <c r="L29" t="s">
        <v>552</v>
      </c>
      <c r="M29" t="s">
        <v>552</v>
      </c>
      <c r="N29">
        <v>38997</v>
      </c>
      <c r="O29">
        <f t="shared" si="0"/>
        <v>25999</v>
      </c>
      <c r="P29" t="str">
        <f t="shared" si="1"/>
        <v>03-2024</v>
      </c>
      <c r="Q29" t="str">
        <f t="shared" si="2"/>
        <v>High</v>
      </c>
    </row>
    <row r="30" spans="1:17" x14ac:dyDescent="0.3">
      <c r="A30" t="s">
        <v>66</v>
      </c>
      <c r="C30" t="s">
        <v>552</v>
      </c>
      <c r="D30" t="s">
        <v>44</v>
      </c>
      <c r="E30" t="s">
        <v>36</v>
      </c>
      <c r="F30" t="s">
        <v>552</v>
      </c>
      <c r="G30" t="s">
        <v>20</v>
      </c>
      <c r="H30">
        <v>1</v>
      </c>
      <c r="I30">
        <v>7830.7177904328155</v>
      </c>
      <c r="J30">
        <v>15</v>
      </c>
      <c r="K30" s="3">
        <v>15000</v>
      </c>
      <c r="L30" t="s">
        <v>552</v>
      </c>
      <c r="M30" t="s">
        <v>37</v>
      </c>
      <c r="N30">
        <v>6656.1101218678932</v>
      </c>
      <c r="O30">
        <f t="shared" si="0"/>
        <v>7830.7177904328155</v>
      </c>
      <c r="P30" t="str">
        <f t="shared" si="1"/>
        <v>01-1900</v>
      </c>
      <c r="Q30" t="str">
        <f t="shared" si="2"/>
        <v>Normal</v>
      </c>
    </row>
    <row r="31" spans="1:17" x14ac:dyDescent="0.3">
      <c r="A31" t="s">
        <v>67</v>
      </c>
      <c r="C31" t="s">
        <v>32</v>
      </c>
      <c r="D31" t="s">
        <v>23</v>
      </c>
      <c r="E31" t="s">
        <v>552</v>
      </c>
      <c r="F31" t="s">
        <v>25</v>
      </c>
      <c r="G31" t="s">
        <v>20</v>
      </c>
      <c r="H31">
        <v>3</v>
      </c>
      <c r="I31">
        <v>499.99</v>
      </c>
      <c r="J31">
        <v>5</v>
      </c>
      <c r="K31" s="3">
        <v>-500</v>
      </c>
      <c r="L31" t="s">
        <v>552</v>
      </c>
      <c r="M31" t="s">
        <v>552</v>
      </c>
      <c r="N31">
        <v>1424.9714999999999</v>
      </c>
      <c r="O31">
        <f t="shared" si="0"/>
        <v>1499.97</v>
      </c>
      <c r="P31" t="str">
        <f t="shared" si="1"/>
        <v>01-1900</v>
      </c>
      <c r="Q31" t="str">
        <f t="shared" si="2"/>
        <v>Normal</v>
      </c>
    </row>
    <row r="32" spans="1:17" x14ac:dyDescent="0.3">
      <c r="A32" t="s">
        <v>68</v>
      </c>
      <c r="B32" s="5">
        <v>45376</v>
      </c>
      <c r="C32" t="s">
        <v>552</v>
      </c>
      <c r="D32" t="s">
        <v>52</v>
      </c>
      <c r="E32" t="s">
        <v>552</v>
      </c>
      <c r="F32" t="s">
        <v>14</v>
      </c>
      <c r="G32" t="s">
        <v>60</v>
      </c>
      <c r="H32">
        <v>1</v>
      </c>
      <c r="I32">
        <v>799.5</v>
      </c>
      <c r="J32">
        <v>0</v>
      </c>
      <c r="K32" s="3">
        <v>15000</v>
      </c>
      <c r="L32" t="s">
        <v>53</v>
      </c>
      <c r="M32" t="s">
        <v>16</v>
      </c>
      <c r="N32">
        <v>799.5</v>
      </c>
      <c r="O32">
        <f t="shared" si="0"/>
        <v>799.5</v>
      </c>
      <c r="P32" t="str">
        <f t="shared" si="1"/>
        <v>03-2024</v>
      </c>
      <c r="Q32" t="str">
        <f t="shared" si="2"/>
        <v>Normal</v>
      </c>
    </row>
    <row r="33" spans="1:17" x14ac:dyDescent="0.3">
      <c r="A33" t="s">
        <v>69</v>
      </c>
      <c r="C33" t="s">
        <v>27</v>
      </c>
      <c r="D33" t="s">
        <v>552</v>
      </c>
      <c r="E33" t="s">
        <v>552</v>
      </c>
      <c r="F33" t="s">
        <v>19</v>
      </c>
      <c r="G33" t="s">
        <v>28</v>
      </c>
      <c r="H33">
        <v>1</v>
      </c>
      <c r="I33">
        <v>799.5</v>
      </c>
      <c r="J33">
        <v>5</v>
      </c>
      <c r="K33" s="3">
        <v>499.99</v>
      </c>
      <c r="L33" t="s">
        <v>39</v>
      </c>
      <c r="M33" t="s">
        <v>552</v>
      </c>
      <c r="N33">
        <v>759.52499999999998</v>
      </c>
      <c r="O33">
        <f t="shared" si="0"/>
        <v>799.5</v>
      </c>
      <c r="P33" t="str">
        <f t="shared" si="1"/>
        <v>01-1900</v>
      </c>
      <c r="Q33" t="str">
        <f t="shared" si="2"/>
        <v>Normal</v>
      </c>
    </row>
    <row r="34" spans="1:17" x14ac:dyDescent="0.3">
      <c r="A34" t="s">
        <v>164</v>
      </c>
      <c r="B34" s="5">
        <v>45376</v>
      </c>
      <c r="C34" t="s">
        <v>552</v>
      </c>
      <c r="D34" t="s">
        <v>13</v>
      </c>
      <c r="E34" t="s">
        <v>36</v>
      </c>
      <c r="F34" t="s">
        <v>19</v>
      </c>
      <c r="G34" t="s">
        <v>552</v>
      </c>
      <c r="H34">
        <v>1</v>
      </c>
      <c r="I34">
        <v>25999</v>
      </c>
      <c r="J34">
        <v>15</v>
      </c>
      <c r="K34" s="3">
        <v>0</v>
      </c>
      <c r="L34" t="s">
        <v>29</v>
      </c>
      <c r="M34" t="s">
        <v>552</v>
      </c>
      <c r="N34">
        <v>38997</v>
      </c>
      <c r="O34">
        <f t="shared" si="0"/>
        <v>25999</v>
      </c>
      <c r="P34" t="str">
        <f t="shared" si="1"/>
        <v>03-2024</v>
      </c>
      <c r="Q34" t="str">
        <f t="shared" si="2"/>
        <v>High</v>
      </c>
    </row>
    <row r="35" spans="1:17" x14ac:dyDescent="0.3">
      <c r="A35" t="s">
        <v>70</v>
      </c>
      <c r="C35" t="s">
        <v>552</v>
      </c>
      <c r="D35" t="s">
        <v>52</v>
      </c>
      <c r="E35" t="s">
        <v>552</v>
      </c>
      <c r="F35" t="s">
        <v>14</v>
      </c>
      <c r="G35" t="s">
        <v>60</v>
      </c>
      <c r="H35">
        <v>3</v>
      </c>
      <c r="I35">
        <v>799.5</v>
      </c>
      <c r="J35">
        <v>5</v>
      </c>
      <c r="K35" s="3">
        <v>-500</v>
      </c>
      <c r="L35" t="s">
        <v>49</v>
      </c>
      <c r="M35" t="s">
        <v>33</v>
      </c>
      <c r="N35">
        <v>2278.5749999999998</v>
      </c>
      <c r="O35">
        <f t="shared" si="0"/>
        <v>2398.5</v>
      </c>
      <c r="P35" t="str">
        <f t="shared" si="1"/>
        <v>01-1900</v>
      </c>
      <c r="Q35" t="str">
        <f t="shared" si="2"/>
        <v>Normal</v>
      </c>
    </row>
    <row r="36" spans="1:17" x14ac:dyDescent="0.3">
      <c r="A36" t="s">
        <v>167</v>
      </c>
      <c r="B36" s="5">
        <v>45376</v>
      </c>
      <c r="C36" t="s">
        <v>552</v>
      </c>
      <c r="D36" t="s">
        <v>52</v>
      </c>
      <c r="E36" t="s">
        <v>552</v>
      </c>
      <c r="F36" t="s">
        <v>19</v>
      </c>
      <c r="G36" t="s">
        <v>15</v>
      </c>
      <c r="H36">
        <v>1</v>
      </c>
      <c r="I36">
        <v>25999</v>
      </c>
      <c r="J36">
        <v>0</v>
      </c>
      <c r="K36" s="3">
        <v>15000</v>
      </c>
      <c r="L36" t="s">
        <v>552</v>
      </c>
      <c r="M36" t="s">
        <v>552</v>
      </c>
      <c r="N36">
        <v>38997</v>
      </c>
      <c r="O36">
        <f t="shared" si="0"/>
        <v>25999</v>
      </c>
      <c r="P36" t="str">
        <f t="shared" si="1"/>
        <v>03-2024</v>
      </c>
      <c r="Q36" t="str">
        <f t="shared" si="2"/>
        <v>High</v>
      </c>
    </row>
    <row r="37" spans="1:17" x14ac:dyDescent="0.3">
      <c r="A37" t="s">
        <v>72</v>
      </c>
      <c r="B37" s="5">
        <v>45306</v>
      </c>
      <c r="C37" t="s">
        <v>552</v>
      </c>
      <c r="D37" t="s">
        <v>52</v>
      </c>
      <c r="E37" t="s">
        <v>36</v>
      </c>
      <c r="F37" t="s">
        <v>19</v>
      </c>
      <c r="G37" t="s">
        <v>552</v>
      </c>
      <c r="H37">
        <v>1</v>
      </c>
      <c r="I37">
        <v>7830.7177904328155</v>
      </c>
      <c r="J37">
        <v>10</v>
      </c>
      <c r="K37" s="3">
        <v>-500</v>
      </c>
      <c r="L37" t="s">
        <v>49</v>
      </c>
      <c r="M37" t="s">
        <v>33</v>
      </c>
      <c r="N37">
        <v>7047.6460113895337</v>
      </c>
      <c r="O37">
        <f t="shared" si="0"/>
        <v>7830.7177904328155</v>
      </c>
      <c r="P37" t="str">
        <f t="shared" si="1"/>
        <v>01-2024</v>
      </c>
      <c r="Q37" t="str">
        <f t="shared" si="2"/>
        <v>Normal</v>
      </c>
    </row>
    <row r="38" spans="1:17" x14ac:dyDescent="0.3">
      <c r="A38" t="s">
        <v>73</v>
      </c>
      <c r="C38" t="s">
        <v>32</v>
      </c>
      <c r="D38" t="s">
        <v>44</v>
      </c>
      <c r="E38" t="s">
        <v>552</v>
      </c>
      <c r="F38" t="s">
        <v>552</v>
      </c>
      <c r="G38" t="s">
        <v>552</v>
      </c>
      <c r="H38">
        <v>1</v>
      </c>
      <c r="I38">
        <v>7830.7177904328155</v>
      </c>
      <c r="J38">
        <v>0</v>
      </c>
      <c r="K38" s="3">
        <v>0</v>
      </c>
      <c r="L38" t="s">
        <v>552</v>
      </c>
      <c r="M38" t="s">
        <v>552</v>
      </c>
      <c r="N38">
        <v>7830.7177904328155</v>
      </c>
      <c r="O38">
        <f t="shared" si="0"/>
        <v>7830.7177904328155</v>
      </c>
      <c r="P38" t="str">
        <f t="shared" si="1"/>
        <v>01-1900</v>
      </c>
      <c r="Q38" t="str">
        <f t="shared" si="2"/>
        <v>Normal</v>
      </c>
    </row>
    <row r="39" spans="1:17" x14ac:dyDescent="0.3">
      <c r="A39" t="s">
        <v>169</v>
      </c>
      <c r="B39" s="5">
        <v>45376</v>
      </c>
      <c r="C39" t="s">
        <v>27</v>
      </c>
      <c r="D39" t="s">
        <v>23</v>
      </c>
      <c r="E39" t="s">
        <v>36</v>
      </c>
      <c r="F39" t="s">
        <v>552</v>
      </c>
      <c r="G39" t="s">
        <v>20</v>
      </c>
      <c r="H39">
        <v>2</v>
      </c>
      <c r="I39">
        <v>12999</v>
      </c>
      <c r="J39">
        <v>10</v>
      </c>
      <c r="K39" s="3">
        <v>-500</v>
      </c>
      <c r="L39" t="s">
        <v>49</v>
      </c>
      <c r="M39" t="s">
        <v>33</v>
      </c>
      <c r="N39">
        <v>37047.15</v>
      </c>
      <c r="O39">
        <f t="shared" si="0"/>
        <v>25998</v>
      </c>
      <c r="P39" t="str">
        <f t="shared" si="1"/>
        <v>03-2024</v>
      </c>
      <c r="Q39" t="str">
        <f t="shared" si="2"/>
        <v>High</v>
      </c>
    </row>
    <row r="40" spans="1:17" x14ac:dyDescent="0.3">
      <c r="A40" t="s">
        <v>75</v>
      </c>
      <c r="C40" t="s">
        <v>27</v>
      </c>
      <c r="D40" t="s">
        <v>552</v>
      </c>
      <c r="E40" t="s">
        <v>24</v>
      </c>
      <c r="F40" t="s">
        <v>25</v>
      </c>
      <c r="G40" t="s">
        <v>47</v>
      </c>
      <c r="H40">
        <v>1</v>
      </c>
      <c r="I40">
        <v>7830.7177904328155</v>
      </c>
      <c r="J40">
        <v>50</v>
      </c>
      <c r="K40" s="3">
        <v>0</v>
      </c>
      <c r="L40" t="s">
        <v>29</v>
      </c>
      <c r="M40" t="s">
        <v>552</v>
      </c>
      <c r="N40">
        <v>3915.3588952164077</v>
      </c>
      <c r="O40">
        <f t="shared" si="0"/>
        <v>7830.7177904328155</v>
      </c>
      <c r="P40" t="str">
        <f t="shared" si="1"/>
        <v>01-1900</v>
      </c>
      <c r="Q40" t="str">
        <f t="shared" si="2"/>
        <v>Normal</v>
      </c>
    </row>
    <row r="41" spans="1:17" x14ac:dyDescent="0.3">
      <c r="A41" t="s">
        <v>76</v>
      </c>
      <c r="B41" s="5">
        <v>45376</v>
      </c>
      <c r="C41" t="s">
        <v>32</v>
      </c>
      <c r="D41" t="s">
        <v>552</v>
      </c>
      <c r="E41" t="s">
        <v>552</v>
      </c>
      <c r="F41" t="s">
        <v>552</v>
      </c>
      <c r="G41" t="s">
        <v>47</v>
      </c>
      <c r="H41">
        <v>1</v>
      </c>
      <c r="I41">
        <v>499.99</v>
      </c>
      <c r="J41">
        <v>0</v>
      </c>
      <c r="K41" s="3">
        <v>30000</v>
      </c>
      <c r="L41" t="s">
        <v>552</v>
      </c>
      <c r="M41" t="s">
        <v>552</v>
      </c>
      <c r="N41">
        <v>499.99</v>
      </c>
      <c r="O41">
        <f t="shared" si="0"/>
        <v>499.99</v>
      </c>
      <c r="P41" t="str">
        <f t="shared" si="1"/>
        <v>03-2024</v>
      </c>
      <c r="Q41" t="str">
        <f t="shared" si="2"/>
        <v>Normal</v>
      </c>
    </row>
    <row r="42" spans="1:17" x14ac:dyDescent="0.3">
      <c r="A42" t="s">
        <v>77</v>
      </c>
      <c r="B42" s="5">
        <v>45376</v>
      </c>
      <c r="C42" t="s">
        <v>22</v>
      </c>
      <c r="D42" t="s">
        <v>23</v>
      </c>
      <c r="E42" t="s">
        <v>18</v>
      </c>
      <c r="F42" t="s">
        <v>552</v>
      </c>
      <c r="G42" t="s">
        <v>20</v>
      </c>
      <c r="H42">
        <v>3</v>
      </c>
      <c r="I42">
        <v>12999</v>
      </c>
      <c r="J42">
        <v>5</v>
      </c>
      <c r="K42" s="3">
        <v>0</v>
      </c>
      <c r="L42" t="s">
        <v>29</v>
      </c>
      <c r="M42" t="s">
        <v>37</v>
      </c>
      <c r="N42">
        <v>37047.15</v>
      </c>
      <c r="O42">
        <f t="shared" si="0"/>
        <v>38997</v>
      </c>
      <c r="P42" t="str">
        <f t="shared" si="1"/>
        <v>03-2024</v>
      </c>
      <c r="Q42" t="str">
        <f t="shared" si="2"/>
        <v>High</v>
      </c>
    </row>
    <row r="43" spans="1:17" x14ac:dyDescent="0.3">
      <c r="A43" t="s">
        <v>78</v>
      </c>
      <c r="B43" s="5">
        <v>45306</v>
      </c>
      <c r="C43" t="s">
        <v>552</v>
      </c>
      <c r="D43" t="s">
        <v>23</v>
      </c>
      <c r="E43" t="s">
        <v>552</v>
      </c>
      <c r="F43" t="s">
        <v>19</v>
      </c>
      <c r="G43" t="s">
        <v>15</v>
      </c>
      <c r="H43">
        <v>1</v>
      </c>
      <c r="I43">
        <v>799.5</v>
      </c>
      <c r="J43">
        <v>0</v>
      </c>
      <c r="K43" s="3">
        <v>-500</v>
      </c>
      <c r="L43" t="s">
        <v>29</v>
      </c>
      <c r="M43" t="s">
        <v>16</v>
      </c>
      <c r="N43">
        <v>799.5</v>
      </c>
      <c r="O43">
        <f t="shared" si="0"/>
        <v>799.5</v>
      </c>
      <c r="P43" t="str">
        <f t="shared" si="1"/>
        <v>01-2024</v>
      </c>
      <c r="Q43" t="str">
        <f t="shared" si="2"/>
        <v>Normal</v>
      </c>
    </row>
    <row r="44" spans="1:17" x14ac:dyDescent="0.3">
      <c r="A44" t="s">
        <v>79</v>
      </c>
      <c r="B44" s="5">
        <v>45337</v>
      </c>
      <c r="C44" t="s">
        <v>22</v>
      </c>
      <c r="D44" t="s">
        <v>44</v>
      </c>
      <c r="E44" t="s">
        <v>552</v>
      </c>
      <c r="F44" t="s">
        <v>19</v>
      </c>
      <c r="G44" t="s">
        <v>28</v>
      </c>
      <c r="H44">
        <v>1</v>
      </c>
      <c r="I44">
        <v>799.5</v>
      </c>
      <c r="J44">
        <v>50</v>
      </c>
      <c r="K44" s="3">
        <v>15000</v>
      </c>
      <c r="L44" t="s">
        <v>552</v>
      </c>
      <c r="M44" t="s">
        <v>30</v>
      </c>
      <c r="N44">
        <v>399.75</v>
      </c>
      <c r="O44">
        <f t="shared" si="0"/>
        <v>799.5</v>
      </c>
      <c r="P44" t="str">
        <f t="shared" si="1"/>
        <v>02-2024</v>
      </c>
      <c r="Q44" t="str">
        <f t="shared" si="2"/>
        <v>Normal</v>
      </c>
    </row>
    <row r="45" spans="1:17" x14ac:dyDescent="0.3">
      <c r="A45" t="s">
        <v>80</v>
      </c>
      <c r="C45" t="s">
        <v>22</v>
      </c>
      <c r="D45" t="s">
        <v>44</v>
      </c>
      <c r="E45" t="s">
        <v>552</v>
      </c>
      <c r="F45" t="s">
        <v>552</v>
      </c>
      <c r="G45" t="s">
        <v>552</v>
      </c>
      <c r="H45">
        <v>2</v>
      </c>
      <c r="I45">
        <v>799.5</v>
      </c>
      <c r="J45">
        <v>50</v>
      </c>
      <c r="K45" s="3">
        <v>0</v>
      </c>
      <c r="L45" t="s">
        <v>552</v>
      </c>
      <c r="M45" t="s">
        <v>37</v>
      </c>
      <c r="N45">
        <v>799.5</v>
      </c>
      <c r="O45">
        <f t="shared" si="0"/>
        <v>1599</v>
      </c>
      <c r="P45" t="str">
        <f t="shared" si="1"/>
        <v>01-1900</v>
      </c>
      <c r="Q45" t="str">
        <f t="shared" si="2"/>
        <v>Normal</v>
      </c>
    </row>
    <row r="46" spans="1:17" x14ac:dyDescent="0.3">
      <c r="A46" t="s">
        <v>81</v>
      </c>
      <c r="C46" t="s">
        <v>22</v>
      </c>
      <c r="D46" t="s">
        <v>44</v>
      </c>
      <c r="E46" t="s">
        <v>18</v>
      </c>
      <c r="F46" t="s">
        <v>552</v>
      </c>
      <c r="G46" t="s">
        <v>552</v>
      </c>
      <c r="H46">
        <v>4</v>
      </c>
      <c r="I46">
        <v>499.99</v>
      </c>
      <c r="J46">
        <v>10</v>
      </c>
      <c r="K46" s="3">
        <v>0</v>
      </c>
      <c r="L46" t="s">
        <v>53</v>
      </c>
      <c r="M46" t="s">
        <v>552</v>
      </c>
      <c r="N46">
        <v>1799.9640000000002</v>
      </c>
      <c r="O46">
        <f t="shared" si="0"/>
        <v>1999.96</v>
      </c>
      <c r="P46" t="str">
        <f t="shared" si="1"/>
        <v>01-1900</v>
      </c>
      <c r="Q46" t="str">
        <f t="shared" si="2"/>
        <v>Normal</v>
      </c>
    </row>
    <row r="47" spans="1:17" x14ac:dyDescent="0.3">
      <c r="A47" t="s">
        <v>82</v>
      </c>
      <c r="C47" t="s">
        <v>552</v>
      </c>
      <c r="D47" t="s">
        <v>23</v>
      </c>
      <c r="E47" t="s">
        <v>36</v>
      </c>
      <c r="F47" t="s">
        <v>552</v>
      </c>
      <c r="G47" t="s">
        <v>552</v>
      </c>
      <c r="H47">
        <v>3</v>
      </c>
      <c r="I47">
        <v>25999</v>
      </c>
      <c r="J47">
        <v>50</v>
      </c>
      <c r="K47" s="3">
        <v>-500</v>
      </c>
      <c r="L47" t="s">
        <v>552</v>
      </c>
      <c r="M47" t="s">
        <v>37</v>
      </c>
      <c r="N47">
        <v>38998.5</v>
      </c>
      <c r="O47">
        <f t="shared" si="0"/>
        <v>77997</v>
      </c>
      <c r="P47" t="str">
        <f t="shared" si="1"/>
        <v>01-1900</v>
      </c>
      <c r="Q47" t="str">
        <f t="shared" si="2"/>
        <v>High</v>
      </c>
    </row>
    <row r="48" spans="1:17" x14ac:dyDescent="0.3">
      <c r="A48" t="s">
        <v>83</v>
      </c>
      <c r="B48" s="5">
        <v>45376</v>
      </c>
      <c r="C48" t="s">
        <v>32</v>
      </c>
      <c r="D48" t="s">
        <v>44</v>
      </c>
      <c r="E48" t="s">
        <v>552</v>
      </c>
      <c r="F48" t="s">
        <v>14</v>
      </c>
      <c r="G48" t="s">
        <v>60</v>
      </c>
      <c r="H48">
        <v>1</v>
      </c>
      <c r="I48">
        <v>7830.7177904328155</v>
      </c>
      <c r="J48">
        <v>5</v>
      </c>
      <c r="K48" s="3">
        <v>0</v>
      </c>
      <c r="L48" t="s">
        <v>552</v>
      </c>
      <c r="M48" t="s">
        <v>552</v>
      </c>
      <c r="N48">
        <v>7439.1819009111741</v>
      </c>
      <c r="O48">
        <f t="shared" si="0"/>
        <v>7830.7177904328155</v>
      </c>
      <c r="P48" t="str">
        <f t="shared" si="1"/>
        <v>03-2024</v>
      </c>
      <c r="Q48" t="str">
        <f t="shared" si="2"/>
        <v>Normal</v>
      </c>
    </row>
    <row r="49" spans="1:17" x14ac:dyDescent="0.3">
      <c r="A49" t="s">
        <v>84</v>
      </c>
      <c r="C49" t="s">
        <v>27</v>
      </c>
      <c r="D49" t="s">
        <v>552</v>
      </c>
      <c r="E49" t="s">
        <v>18</v>
      </c>
      <c r="F49" t="s">
        <v>25</v>
      </c>
      <c r="G49" t="s">
        <v>15</v>
      </c>
      <c r="H49">
        <v>1</v>
      </c>
      <c r="I49">
        <v>7830.7177904328155</v>
      </c>
      <c r="J49">
        <v>0</v>
      </c>
      <c r="K49" s="3">
        <v>0</v>
      </c>
      <c r="L49" t="s">
        <v>39</v>
      </c>
      <c r="M49" t="s">
        <v>30</v>
      </c>
      <c r="N49">
        <v>7830.7177904328155</v>
      </c>
      <c r="O49">
        <f t="shared" si="0"/>
        <v>7830.7177904328155</v>
      </c>
      <c r="P49" t="str">
        <f t="shared" si="1"/>
        <v>01-1900</v>
      </c>
      <c r="Q49" t="str">
        <f t="shared" si="2"/>
        <v>Normal</v>
      </c>
    </row>
    <row r="50" spans="1:17" x14ac:dyDescent="0.3">
      <c r="A50" t="s">
        <v>170</v>
      </c>
      <c r="B50" s="5">
        <v>45376</v>
      </c>
      <c r="C50" t="s">
        <v>22</v>
      </c>
      <c r="D50" t="s">
        <v>23</v>
      </c>
      <c r="E50" t="s">
        <v>552</v>
      </c>
      <c r="F50" t="s">
        <v>25</v>
      </c>
      <c r="G50" t="s">
        <v>28</v>
      </c>
      <c r="H50">
        <v>4</v>
      </c>
      <c r="I50">
        <v>12999</v>
      </c>
      <c r="J50">
        <v>0</v>
      </c>
      <c r="K50" s="3">
        <v>-500</v>
      </c>
      <c r="L50" t="s">
        <v>39</v>
      </c>
      <c r="M50" t="s">
        <v>16</v>
      </c>
      <c r="N50">
        <v>37047.15</v>
      </c>
      <c r="O50">
        <f t="shared" si="0"/>
        <v>51996</v>
      </c>
      <c r="P50" t="str">
        <f t="shared" si="1"/>
        <v>03-2024</v>
      </c>
      <c r="Q50" t="str">
        <f t="shared" si="2"/>
        <v>High</v>
      </c>
    </row>
    <row r="51" spans="1:17" x14ac:dyDescent="0.3">
      <c r="A51" t="s">
        <v>86</v>
      </c>
      <c r="C51" t="s">
        <v>552</v>
      </c>
      <c r="D51" t="s">
        <v>552</v>
      </c>
      <c r="E51" t="s">
        <v>18</v>
      </c>
      <c r="F51" t="s">
        <v>552</v>
      </c>
      <c r="G51" t="s">
        <v>552</v>
      </c>
      <c r="H51">
        <v>1</v>
      </c>
      <c r="I51">
        <v>7830.7177904328155</v>
      </c>
      <c r="J51">
        <v>0</v>
      </c>
      <c r="K51" s="3">
        <v>499.99</v>
      </c>
      <c r="L51" t="s">
        <v>552</v>
      </c>
      <c r="M51" t="s">
        <v>552</v>
      </c>
      <c r="N51">
        <v>7830.7177904328155</v>
      </c>
      <c r="O51">
        <f t="shared" si="0"/>
        <v>7830.7177904328155</v>
      </c>
      <c r="P51" t="str">
        <f t="shared" si="1"/>
        <v>01-1900</v>
      </c>
      <c r="Q51" t="str">
        <f t="shared" si="2"/>
        <v>Normal</v>
      </c>
    </row>
    <row r="52" spans="1:17" x14ac:dyDescent="0.3">
      <c r="A52" t="s">
        <v>87</v>
      </c>
      <c r="C52" t="s">
        <v>12</v>
      </c>
      <c r="D52" t="s">
        <v>23</v>
      </c>
      <c r="E52" t="s">
        <v>18</v>
      </c>
      <c r="F52" t="s">
        <v>25</v>
      </c>
      <c r="G52" t="s">
        <v>28</v>
      </c>
      <c r="H52">
        <v>4</v>
      </c>
      <c r="I52">
        <v>7830.7177904328155</v>
      </c>
      <c r="J52">
        <v>0</v>
      </c>
      <c r="K52" s="3">
        <v>499.99</v>
      </c>
      <c r="L52" t="s">
        <v>53</v>
      </c>
      <c r="M52" t="s">
        <v>37</v>
      </c>
      <c r="N52">
        <v>31322.871161731262</v>
      </c>
      <c r="O52">
        <f t="shared" si="0"/>
        <v>31322.871161731262</v>
      </c>
      <c r="P52" t="str">
        <f t="shared" si="1"/>
        <v>01-1900</v>
      </c>
      <c r="Q52" t="str">
        <f t="shared" si="2"/>
        <v>High</v>
      </c>
    </row>
    <row r="53" spans="1:17" x14ac:dyDescent="0.3">
      <c r="A53" t="s">
        <v>88</v>
      </c>
      <c r="B53" s="5">
        <v>45376</v>
      </c>
      <c r="C53" t="s">
        <v>27</v>
      </c>
      <c r="D53" t="s">
        <v>44</v>
      </c>
      <c r="E53" t="s">
        <v>36</v>
      </c>
      <c r="F53" t="s">
        <v>25</v>
      </c>
      <c r="G53" t="s">
        <v>552</v>
      </c>
      <c r="H53">
        <v>1</v>
      </c>
      <c r="I53">
        <v>25999</v>
      </c>
      <c r="J53">
        <v>15</v>
      </c>
      <c r="K53" s="3">
        <v>0</v>
      </c>
      <c r="L53" t="s">
        <v>39</v>
      </c>
      <c r="M53" t="s">
        <v>37</v>
      </c>
      <c r="N53">
        <v>22099.149999999998</v>
      </c>
      <c r="O53">
        <f t="shared" si="0"/>
        <v>25999</v>
      </c>
      <c r="P53" t="str">
        <f t="shared" si="1"/>
        <v>03-2024</v>
      </c>
      <c r="Q53" t="str">
        <f t="shared" si="2"/>
        <v>High</v>
      </c>
    </row>
    <row r="54" spans="1:17" x14ac:dyDescent="0.3">
      <c r="A54" t="s">
        <v>180</v>
      </c>
      <c r="B54" s="5">
        <v>45376</v>
      </c>
      <c r="C54" t="s">
        <v>552</v>
      </c>
      <c r="D54" t="s">
        <v>44</v>
      </c>
      <c r="E54" t="s">
        <v>24</v>
      </c>
      <c r="F54" t="s">
        <v>552</v>
      </c>
      <c r="G54" t="s">
        <v>15</v>
      </c>
      <c r="H54">
        <v>2</v>
      </c>
      <c r="I54">
        <v>25999</v>
      </c>
      <c r="J54">
        <v>5</v>
      </c>
      <c r="K54" s="3">
        <v>-500</v>
      </c>
      <c r="L54" t="s">
        <v>39</v>
      </c>
      <c r="M54" t="s">
        <v>16</v>
      </c>
      <c r="N54">
        <v>33147.449999999997</v>
      </c>
      <c r="O54">
        <f t="shared" si="0"/>
        <v>51998</v>
      </c>
      <c r="P54" t="str">
        <f t="shared" si="1"/>
        <v>03-2024</v>
      </c>
      <c r="Q54" t="str">
        <f t="shared" si="2"/>
        <v>High</v>
      </c>
    </row>
    <row r="55" spans="1:17" x14ac:dyDescent="0.3">
      <c r="A55" t="s">
        <v>90</v>
      </c>
      <c r="C55" t="s">
        <v>12</v>
      </c>
      <c r="D55" t="s">
        <v>13</v>
      </c>
      <c r="E55" t="s">
        <v>36</v>
      </c>
      <c r="F55" t="s">
        <v>14</v>
      </c>
      <c r="G55" t="s">
        <v>552</v>
      </c>
      <c r="H55">
        <v>3</v>
      </c>
      <c r="I55">
        <v>499.99</v>
      </c>
      <c r="J55">
        <v>0</v>
      </c>
      <c r="K55" s="3">
        <v>0</v>
      </c>
      <c r="L55" t="s">
        <v>39</v>
      </c>
      <c r="M55" t="s">
        <v>552</v>
      </c>
      <c r="N55">
        <v>1499.97</v>
      </c>
      <c r="O55">
        <f t="shared" si="0"/>
        <v>1499.97</v>
      </c>
      <c r="P55" t="str">
        <f t="shared" si="1"/>
        <v>01-1900</v>
      </c>
      <c r="Q55" t="str">
        <f t="shared" si="2"/>
        <v>Normal</v>
      </c>
    </row>
    <row r="56" spans="1:17" x14ac:dyDescent="0.3">
      <c r="A56" t="s">
        <v>91</v>
      </c>
      <c r="C56" t="s">
        <v>32</v>
      </c>
      <c r="D56" t="s">
        <v>52</v>
      </c>
      <c r="E56" t="s">
        <v>18</v>
      </c>
      <c r="F56" t="s">
        <v>552</v>
      </c>
      <c r="G56" t="s">
        <v>552</v>
      </c>
      <c r="H56">
        <v>1</v>
      </c>
      <c r="I56">
        <v>499.99</v>
      </c>
      <c r="J56">
        <v>0</v>
      </c>
      <c r="K56" s="3">
        <v>499.99</v>
      </c>
      <c r="L56" t="s">
        <v>29</v>
      </c>
      <c r="M56" t="s">
        <v>16</v>
      </c>
      <c r="N56">
        <v>499.99</v>
      </c>
      <c r="O56">
        <f t="shared" si="0"/>
        <v>499.99</v>
      </c>
      <c r="P56" t="str">
        <f t="shared" si="1"/>
        <v>01-1900</v>
      </c>
      <c r="Q56" t="str">
        <f t="shared" si="2"/>
        <v>Normal</v>
      </c>
    </row>
    <row r="57" spans="1:17" x14ac:dyDescent="0.3">
      <c r="A57" t="s">
        <v>181</v>
      </c>
      <c r="B57" s="5">
        <v>45376</v>
      </c>
      <c r="C57" t="s">
        <v>32</v>
      </c>
      <c r="D57" t="s">
        <v>52</v>
      </c>
      <c r="E57" t="s">
        <v>24</v>
      </c>
      <c r="F57" t="s">
        <v>552</v>
      </c>
      <c r="G57" t="s">
        <v>552</v>
      </c>
      <c r="H57">
        <v>1</v>
      </c>
      <c r="I57">
        <v>25999</v>
      </c>
      <c r="J57">
        <v>0</v>
      </c>
      <c r="K57" s="3">
        <v>15000</v>
      </c>
      <c r="L57" t="s">
        <v>39</v>
      </c>
      <c r="M57" t="s">
        <v>33</v>
      </c>
      <c r="N57">
        <v>31322.871161731262</v>
      </c>
      <c r="O57">
        <f t="shared" si="0"/>
        <v>25999</v>
      </c>
      <c r="P57" t="str">
        <f t="shared" si="1"/>
        <v>03-2024</v>
      </c>
      <c r="Q57" t="str">
        <f t="shared" si="2"/>
        <v>High</v>
      </c>
    </row>
    <row r="58" spans="1:17" x14ac:dyDescent="0.3">
      <c r="A58" t="s">
        <v>93</v>
      </c>
      <c r="B58" s="5">
        <v>45306</v>
      </c>
      <c r="C58" t="s">
        <v>552</v>
      </c>
      <c r="D58" t="s">
        <v>44</v>
      </c>
      <c r="E58" t="s">
        <v>36</v>
      </c>
      <c r="F58" t="s">
        <v>14</v>
      </c>
      <c r="G58" t="s">
        <v>552</v>
      </c>
      <c r="H58">
        <v>4</v>
      </c>
      <c r="I58">
        <v>499.99</v>
      </c>
      <c r="J58">
        <v>50</v>
      </c>
      <c r="K58" s="3">
        <v>-500</v>
      </c>
      <c r="L58" t="s">
        <v>29</v>
      </c>
      <c r="M58" t="s">
        <v>37</v>
      </c>
      <c r="N58">
        <v>999.98</v>
      </c>
      <c r="O58">
        <f t="shared" si="0"/>
        <v>1999.96</v>
      </c>
      <c r="P58" t="str">
        <f t="shared" si="1"/>
        <v>01-2024</v>
      </c>
      <c r="Q58" t="str">
        <f t="shared" si="2"/>
        <v>Normal</v>
      </c>
    </row>
    <row r="59" spans="1:17" x14ac:dyDescent="0.3">
      <c r="A59" t="s">
        <v>94</v>
      </c>
      <c r="C59" t="s">
        <v>32</v>
      </c>
      <c r="D59" t="s">
        <v>552</v>
      </c>
      <c r="E59" t="s">
        <v>36</v>
      </c>
      <c r="F59" t="s">
        <v>25</v>
      </c>
      <c r="G59" t="s">
        <v>15</v>
      </c>
      <c r="H59">
        <v>3</v>
      </c>
      <c r="I59">
        <v>499.99</v>
      </c>
      <c r="J59">
        <v>15</v>
      </c>
      <c r="K59" s="3">
        <v>0</v>
      </c>
      <c r="L59" t="s">
        <v>552</v>
      </c>
      <c r="M59" t="s">
        <v>16</v>
      </c>
      <c r="N59">
        <v>1274.9745</v>
      </c>
      <c r="O59">
        <f t="shared" si="0"/>
        <v>1499.97</v>
      </c>
      <c r="P59" t="str">
        <f t="shared" si="1"/>
        <v>01-1900</v>
      </c>
      <c r="Q59" t="str">
        <f t="shared" si="2"/>
        <v>Normal</v>
      </c>
    </row>
    <row r="60" spans="1:17" x14ac:dyDescent="0.3">
      <c r="A60" t="s">
        <v>95</v>
      </c>
      <c r="B60" s="5">
        <v>45306</v>
      </c>
      <c r="C60" t="s">
        <v>22</v>
      </c>
      <c r="D60" t="s">
        <v>552</v>
      </c>
      <c r="E60" t="s">
        <v>18</v>
      </c>
      <c r="F60" t="s">
        <v>25</v>
      </c>
      <c r="G60" t="s">
        <v>552</v>
      </c>
      <c r="H60">
        <v>4</v>
      </c>
      <c r="I60">
        <v>499.99</v>
      </c>
      <c r="J60">
        <v>0</v>
      </c>
      <c r="K60" s="3">
        <v>30000</v>
      </c>
      <c r="L60" t="s">
        <v>29</v>
      </c>
      <c r="M60" t="s">
        <v>30</v>
      </c>
      <c r="N60">
        <v>1999.96</v>
      </c>
      <c r="O60">
        <f t="shared" si="0"/>
        <v>1999.96</v>
      </c>
      <c r="P60" t="str">
        <f t="shared" si="1"/>
        <v>01-2024</v>
      </c>
      <c r="Q60" t="str">
        <f t="shared" si="2"/>
        <v>Normal</v>
      </c>
    </row>
    <row r="61" spans="1:17" x14ac:dyDescent="0.3">
      <c r="A61" t="s">
        <v>96</v>
      </c>
      <c r="C61" t="s">
        <v>552</v>
      </c>
      <c r="D61" t="s">
        <v>44</v>
      </c>
      <c r="E61" t="s">
        <v>18</v>
      </c>
      <c r="F61" t="s">
        <v>19</v>
      </c>
      <c r="G61" t="s">
        <v>47</v>
      </c>
      <c r="H61">
        <v>1</v>
      </c>
      <c r="I61">
        <v>7830.7177904328155</v>
      </c>
      <c r="J61">
        <v>50</v>
      </c>
      <c r="K61" s="3">
        <v>0</v>
      </c>
      <c r="L61" t="s">
        <v>53</v>
      </c>
      <c r="M61" t="s">
        <v>30</v>
      </c>
      <c r="N61">
        <v>3915.3588952164077</v>
      </c>
      <c r="O61">
        <f t="shared" si="0"/>
        <v>7830.7177904328155</v>
      </c>
      <c r="P61" t="str">
        <f t="shared" si="1"/>
        <v>01-1900</v>
      </c>
      <c r="Q61" t="str">
        <f t="shared" si="2"/>
        <v>Normal</v>
      </c>
    </row>
    <row r="62" spans="1:17" x14ac:dyDescent="0.3">
      <c r="A62" t="s">
        <v>97</v>
      </c>
      <c r="C62" t="s">
        <v>552</v>
      </c>
      <c r="D62" t="s">
        <v>44</v>
      </c>
      <c r="E62" t="s">
        <v>552</v>
      </c>
      <c r="F62" t="s">
        <v>552</v>
      </c>
      <c r="G62" t="s">
        <v>552</v>
      </c>
      <c r="H62">
        <v>4</v>
      </c>
      <c r="I62">
        <v>499.99</v>
      </c>
      <c r="J62">
        <v>0</v>
      </c>
      <c r="K62" s="3">
        <v>15000</v>
      </c>
      <c r="L62" t="s">
        <v>39</v>
      </c>
      <c r="M62" t="s">
        <v>37</v>
      </c>
      <c r="N62">
        <v>1999.96</v>
      </c>
      <c r="O62">
        <f t="shared" si="0"/>
        <v>1999.96</v>
      </c>
      <c r="P62" t="str">
        <f t="shared" si="1"/>
        <v>01-1900</v>
      </c>
      <c r="Q62" t="str">
        <f t="shared" si="2"/>
        <v>Normal</v>
      </c>
    </row>
    <row r="63" spans="1:17" x14ac:dyDescent="0.3">
      <c r="A63" t="s">
        <v>191</v>
      </c>
      <c r="B63" s="5">
        <v>45376</v>
      </c>
      <c r="C63" t="s">
        <v>27</v>
      </c>
      <c r="D63" t="s">
        <v>13</v>
      </c>
      <c r="E63" t="s">
        <v>36</v>
      </c>
      <c r="F63" t="s">
        <v>19</v>
      </c>
      <c r="G63" t="s">
        <v>47</v>
      </c>
      <c r="H63">
        <v>2</v>
      </c>
      <c r="I63">
        <v>7830.7177904328155</v>
      </c>
      <c r="J63">
        <v>0</v>
      </c>
      <c r="K63" s="3">
        <v>15000</v>
      </c>
      <c r="L63" t="s">
        <v>552</v>
      </c>
      <c r="M63" t="s">
        <v>16</v>
      </c>
      <c r="N63">
        <v>31322.871161731262</v>
      </c>
      <c r="O63">
        <f t="shared" si="0"/>
        <v>15661.435580865631</v>
      </c>
      <c r="P63" t="str">
        <f t="shared" si="1"/>
        <v>03-2024</v>
      </c>
      <c r="Q63" t="str">
        <f t="shared" si="2"/>
        <v>High</v>
      </c>
    </row>
    <row r="64" spans="1:17" x14ac:dyDescent="0.3">
      <c r="A64" t="s">
        <v>208</v>
      </c>
      <c r="B64" s="5">
        <v>45376</v>
      </c>
      <c r="C64" t="s">
        <v>552</v>
      </c>
      <c r="D64" t="s">
        <v>23</v>
      </c>
      <c r="E64" t="s">
        <v>24</v>
      </c>
      <c r="F64" t="s">
        <v>19</v>
      </c>
      <c r="G64" t="s">
        <v>20</v>
      </c>
      <c r="H64">
        <v>1</v>
      </c>
      <c r="I64">
        <v>25999</v>
      </c>
      <c r="J64">
        <v>0</v>
      </c>
      <c r="K64" s="3">
        <v>0</v>
      </c>
      <c r="L64" t="s">
        <v>53</v>
      </c>
      <c r="M64" t="s">
        <v>30</v>
      </c>
      <c r="N64">
        <v>29756.727603644697</v>
      </c>
      <c r="O64">
        <f t="shared" si="0"/>
        <v>25999</v>
      </c>
      <c r="P64" t="str">
        <f t="shared" si="1"/>
        <v>03-2024</v>
      </c>
      <c r="Q64" t="str">
        <f t="shared" si="2"/>
        <v>High</v>
      </c>
    </row>
    <row r="65" spans="1:17" x14ac:dyDescent="0.3">
      <c r="A65" t="s">
        <v>213</v>
      </c>
      <c r="B65" s="5">
        <v>45376</v>
      </c>
      <c r="C65" t="s">
        <v>552</v>
      </c>
      <c r="D65" t="s">
        <v>44</v>
      </c>
      <c r="E65" t="s">
        <v>552</v>
      </c>
      <c r="F65" t="s">
        <v>14</v>
      </c>
      <c r="G65" t="s">
        <v>60</v>
      </c>
      <c r="H65">
        <v>4</v>
      </c>
      <c r="I65">
        <v>12999</v>
      </c>
      <c r="J65">
        <v>50</v>
      </c>
      <c r="K65" s="3">
        <v>0</v>
      </c>
      <c r="L65" t="s">
        <v>53</v>
      </c>
      <c r="M65" t="s">
        <v>33</v>
      </c>
      <c r="N65">
        <v>28190.584045558135</v>
      </c>
      <c r="O65">
        <f t="shared" si="0"/>
        <v>51996</v>
      </c>
      <c r="P65" t="str">
        <f t="shared" si="1"/>
        <v>03-2024</v>
      </c>
      <c r="Q65" t="str">
        <f t="shared" si="2"/>
        <v>High</v>
      </c>
    </row>
    <row r="66" spans="1:17" x14ac:dyDescent="0.3">
      <c r="A66" t="s">
        <v>101</v>
      </c>
      <c r="B66" s="5">
        <v>45306</v>
      </c>
      <c r="C66" t="s">
        <v>32</v>
      </c>
      <c r="D66" t="s">
        <v>52</v>
      </c>
      <c r="E66" t="s">
        <v>552</v>
      </c>
      <c r="F66" t="s">
        <v>552</v>
      </c>
      <c r="G66" t="s">
        <v>47</v>
      </c>
      <c r="H66">
        <v>1</v>
      </c>
      <c r="I66">
        <v>799.5</v>
      </c>
      <c r="J66">
        <v>15</v>
      </c>
      <c r="K66" s="3">
        <v>15000</v>
      </c>
      <c r="L66" t="s">
        <v>552</v>
      </c>
      <c r="M66" t="s">
        <v>552</v>
      </c>
      <c r="N66">
        <v>679.57499999999993</v>
      </c>
      <c r="O66">
        <f t="shared" ref="O66:O129" si="3">H66*I66</f>
        <v>799.5</v>
      </c>
      <c r="P66" t="str">
        <f t="shared" ref="P66:P129" si="4">TEXT(B66,"MM-YYYY")</f>
        <v>01-2024</v>
      </c>
      <c r="Q66" t="str">
        <f t="shared" ref="Q66:Q129" si="5">IF(N66&gt;10000,"High","Normal")</f>
        <v>Normal</v>
      </c>
    </row>
    <row r="67" spans="1:17" x14ac:dyDescent="0.3">
      <c r="A67" t="s">
        <v>102</v>
      </c>
      <c r="B67" s="5">
        <v>45376</v>
      </c>
      <c r="C67" t="s">
        <v>32</v>
      </c>
      <c r="D67" t="s">
        <v>552</v>
      </c>
      <c r="E67" t="s">
        <v>552</v>
      </c>
      <c r="F67" t="s">
        <v>552</v>
      </c>
      <c r="G67" t="s">
        <v>47</v>
      </c>
      <c r="H67">
        <v>3</v>
      </c>
      <c r="I67">
        <v>799.5</v>
      </c>
      <c r="J67">
        <v>0</v>
      </c>
      <c r="K67" s="3">
        <v>30000</v>
      </c>
      <c r="L67" t="s">
        <v>39</v>
      </c>
      <c r="M67" t="s">
        <v>37</v>
      </c>
      <c r="N67">
        <v>2398.5</v>
      </c>
      <c r="O67">
        <f t="shared" si="3"/>
        <v>2398.5</v>
      </c>
      <c r="P67" t="str">
        <f t="shared" si="4"/>
        <v>03-2024</v>
      </c>
      <c r="Q67" t="str">
        <f t="shared" si="5"/>
        <v>Normal</v>
      </c>
    </row>
    <row r="68" spans="1:17" x14ac:dyDescent="0.3">
      <c r="A68" t="s">
        <v>233</v>
      </c>
      <c r="B68" s="5">
        <v>45376</v>
      </c>
      <c r="C68" t="s">
        <v>552</v>
      </c>
      <c r="D68" t="s">
        <v>44</v>
      </c>
      <c r="E68" t="s">
        <v>18</v>
      </c>
      <c r="F68" t="s">
        <v>552</v>
      </c>
      <c r="G68" t="s">
        <v>20</v>
      </c>
      <c r="H68">
        <v>1</v>
      </c>
      <c r="I68">
        <v>12999</v>
      </c>
      <c r="J68">
        <v>15</v>
      </c>
      <c r="K68" s="3">
        <v>15000</v>
      </c>
      <c r="L68" t="s">
        <v>49</v>
      </c>
      <c r="M68" t="s">
        <v>16</v>
      </c>
      <c r="N68">
        <v>25999</v>
      </c>
      <c r="O68">
        <f t="shared" si="3"/>
        <v>12999</v>
      </c>
      <c r="P68" t="str">
        <f t="shared" si="4"/>
        <v>03-2024</v>
      </c>
      <c r="Q68" t="str">
        <f t="shared" si="5"/>
        <v>High</v>
      </c>
    </row>
    <row r="69" spans="1:17" x14ac:dyDescent="0.3">
      <c r="A69" t="s">
        <v>104</v>
      </c>
      <c r="C69" t="s">
        <v>27</v>
      </c>
      <c r="D69" t="s">
        <v>52</v>
      </c>
      <c r="E69" t="s">
        <v>552</v>
      </c>
      <c r="F69" t="s">
        <v>552</v>
      </c>
      <c r="G69" t="s">
        <v>47</v>
      </c>
      <c r="H69">
        <v>2</v>
      </c>
      <c r="I69">
        <v>799.5</v>
      </c>
      <c r="J69">
        <v>0</v>
      </c>
      <c r="K69" s="3">
        <v>-500</v>
      </c>
      <c r="L69" t="s">
        <v>49</v>
      </c>
      <c r="M69" t="s">
        <v>30</v>
      </c>
      <c r="N69">
        <v>1599</v>
      </c>
      <c r="O69">
        <f t="shared" si="3"/>
        <v>1599</v>
      </c>
      <c r="P69" t="str">
        <f t="shared" si="4"/>
        <v>01-1900</v>
      </c>
      <c r="Q69" t="str">
        <f t="shared" si="5"/>
        <v>Normal</v>
      </c>
    </row>
    <row r="70" spans="1:17" x14ac:dyDescent="0.3">
      <c r="A70" t="s">
        <v>105</v>
      </c>
      <c r="B70" s="5">
        <v>45337</v>
      </c>
      <c r="C70" t="s">
        <v>552</v>
      </c>
      <c r="D70" t="s">
        <v>552</v>
      </c>
      <c r="E70" t="s">
        <v>36</v>
      </c>
      <c r="F70" t="s">
        <v>552</v>
      </c>
      <c r="G70" t="s">
        <v>47</v>
      </c>
      <c r="H70">
        <v>1</v>
      </c>
      <c r="I70">
        <v>25999</v>
      </c>
      <c r="J70">
        <v>50</v>
      </c>
      <c r="K70" s="3">
        <v>499.99</v>
      </c>
      <c r="L70" t="s">
        <v>552</v>
      </c>
      <c r="M70" t="s">
        <v>37</v>
      </c>
      <c r="N70">
        <v>12999.5</v>
      </c>
      <c r="O70">
        <f t="shared" si="3"/>
        <v>25999</v>
      </c>
      <c r="P70" t="str">
        <f t="shared" si="4"/>
        <v>02-2024</v>
      </c>
      <c r="Q70" t="str">
        <f t="shared" si="5"/>
        <v>High</v>
      </c>
    </row>
    <row r="71" spans="1:17" x14ac:dyDescent="0.3">
      <c r="A71" t="s">
        <v>106</v>
      </c>
      <c r="B71" s="5">
        <v>45306</v>
      </c>
      <c r="C71" t="s">
        <v>552</v>
      </c>
      <c r="D71" t="s">
        <v>44</v>
      </c>
      <c r="E71" t="s">
        <v>18</v>
      </c>
      <c r="F71" t="s">
        <v>19</v>
      </c>
      <c r="G71" t="s">
        <v>15</v>
      </c>
      <c r="H71">
        <v>1</v>
      </c>
      <c r="I71">
        <v>7830.7177904328155</v>
      </c>
      <c r="J71">
        <v>10</v>
      </c>
      <c r="K71" s="3">
        <v>30000</v>
      </c>
      <c r="L71" t="s">
        <v>49</v>
      </c>
      <c r="M71" t="s">
        <v>16</v>
      </c>
      <c r="N71">
        <v>7047.6460113895337</v>
      </c>
      <c r="O71">
        <f t="shared" si="3"/>
        <v>7830.7177904328155</v>
      </c>
      <c r="P71" t="str">
        <f t="shared" si="4"/>
        <v>01-2024</v>
      </c>
      <c r="Q71" t="str">
        <f t="shared" si="5"/>
        <v>Normal</v>
      </c>
    </row>
    <row r="72" spans="1:17" x14ac:dyDescent="0.3">
      <c r="A72" t="s">
        <v>239</v>
      </c>
      <c r="B72" s="5">
        <v>45376</v>
      </c>
      <c r="C72" t="s">
        <v>552</v>
      </c>
      <c r="D72" t="s">
        <v>552</v>
      </c>
      <c r="E72" t="s">
        <v>18</v>
      </c>
      <c r="F72" t="s">
        <v>19</v>
      </c>
      <c r="G72" t="s">
        <v>552</v>
      </c>
      <c r="H72">
        <v>1</v>
      </c>
      <c r="I72">
        <v>25999</v>
      </c>
      <c r="J72">
        <v>5</v>
      </c>
      <c r="K72" s="3">
        <v>-500</v>
      </c>
      <c r="L72" t="s">
        <v>552</v>
      </c>
      <c r="M72" t="s">
        <v>30</v>
      </c>
      <c r="N72">
        <v>25999</v>
      </c>
      <c r="O72">
        <f t="shared" si="3"/>
        <v>25999</v>
      </c>
      <c r="P72" t="str">
        <f t="shared" si="4"/>
        <v>03-2024</v>
      </c>
      <c r="Q72" t="str">
        <f t="shared" si="5"/>
        <v>High</v>
      </c>
    </row>
    <row r="73" spans="1:17" x14ac:dyDescent="0.3">
      <c r="A73" t="s">
        <v>243</v>
      </c>
      <c r="B73" s="5">
        <v>45376</v>
      </c>
      <c r="C73" t="s">
        <v>27</v>
      </c>
      <c r="D73" t="s">
        <v>23</v>
      </c>
      <c r="E73" t="s">
        <v>24</v>
      </c>
      <c r="F73" t="s">
        <v>552</v>
      </c>
      <c r="G73" t="s">
        <v>15</v>
      </c>
      <c r="H73">
        <v>2</v>
      </c>
      <c r="I73">
        <v>7830.7177904328155</v>
      </c>
      <c r="J73">
        <v>15</v>
      </c>
      <c r="K73" s="3">
        <v>499.99</v>
      </c>
      <c r="L73" t="s">
        <v>552</v>
      </c>
      <c r="M73" t="s">
        <v>16</v>
      </c>
      <c r="N73">
        <v>25999</v>
      </c>
      <c r="O73">
        <f t="shared" si="3"/>
        <v>15661.435580865631</v>
      </c>
      <c r="P73" t="str">
        <f t="shared" si="4"/>
        <v>03-2024</v>
      </c>
      <c r="Q73" t="str">
        <f t="shared" si="5"/>
        <v>High</v>
      </c>
    </row>
    <row r="74" spans="1:17" x14ac:dyDescent="0.3">
      <c r="A74" t="s">
        <v>255</v>
      </c>
      <c r="B74" s="5">
        <v>45376</v>
      </c>
      <c r="C74" t="s">
        <v>27</v>
      </c>
      <c r="D74" t="s">
        <v>52</v>
      </c>
      <c r="E74" t="s">
        <v>36</v>
      </c>
      <c r="F74" t="s">
        <v>19</v>
      </c>
      <c r="G74" t="s">
        <v>47</v>
      </c>
      <c r="H74">
        <v>1</v>
      </c>
      <c r="I74">
        <v>25999</v>
      </c>
      <c r="J74">
        <v>0</v>
      </c>
      <c r="K74" s="3">
        <v>30000</v>
      </c>
      <c r="L74" t="s">
        <v>29</v>
      </c>
      <c r="M74" t="s">
        <v>16</v>
      </c>
      <c r="N74">
        <v>25999</v>
      </c>
      <c r="O74">
        <f t="shared" si="3"/>
        <v>25999</v>
      </c>
      <c r="P74" t="str">
        <f t="shared" si="4"/>
        <v>03-2024</v>
      </c>
      <c r="Q74" t="str">
        <f t="shared" si="5"/>
        <v>High</v>
      </c>
    </row>
    <row r="75" spans="1:17" x14ac:dyDescent="0.3">
      <c r="A75" t="s">
        <v>110</v>
      </c>
      <c r="B75" s="5">
        <v>45337</v>
      </c>
      <c r="C75" t="s">
        <v>22</v>
      </c>
      <c r="D75" t="s">
        <v>44</v>
      </c>
      <c r="E75" t="s">
        <v>36</v>
      </c>
      <c r="F75" t="s">
        <v>14</v>
      </c>
      <c r="G75" t="s">
        <v>15</v>
      </c>
      <c r="H75">
        <v>4</v>
      </c>
      <c r="I75">
        <v>499.99</v>
      </c>
      <c r="J75">
        <v>15</v>
      </c>
      <c r="K75" s="3">
        <v>0</v>
      </c>
      <c r="L75" t="s">
        <v>39</v>
      </c>
      <c r="M75" t="s">
        <v>552</v>
      </c>
      <c r="N75">
        <v>1699.9659999999999</v>
      </c>
      <c r="O75">
        <f t="shared" si="3"/>
        <v>1999.96</v>
      </c>
      <c r="P75" t="str">
        <f t="shared" si="4"/>
        <v>02-2024</v>
      </c>
      <c r="Q75" t="str">
        <f t="shared" si="5"/>
        <v>Normal</v>
      </c>
    </row>
    <row r="76" spans="1:17" x14ac:dyDescent="0.3">
      <c r="A76" t="s">
        <v>257</v>
      </c>
      <c r="B76" s="5">
        <v>45376</v>
      </c>
      <c r="C76" t="s">
        <v>22</v>
      </c>
      <c r="D76" t="s">
        <v>52</v>
      </c>
      <c r="E76" t="s">
        <v>552</v>
      </c>
      <c r="F76" t="s">
        <v>19</v>
      </c>
      <c r="G76" t="s">
        <v>552</v>
      </c>
      <c r="H76">
        <v>2</v>
      </c>
      <c r="I76">
        <v>7830.7177904328155</v>
      </c>
      <c r="J76">
        <v>0</v>
      </c>
      <c r="K76" s="3">
        <v>-500</v>
      </c>
      <c r="L76" t="s">
        <v>552</v>
      </c>
      <c r="M76" t="s">
        <v>30</v>
      </c>
      <c r="N76">
        <v>25999</v>
      </c>
      <c r="O76">
        <f t="shared" si="3"/>
        <v>15661.435580865631</v>
      </c>
      <c r="P76" t="str">
        <f t="shared" si="4"/>
        <v>03-2024</v>
      </c>
      <c r="Q76" t="str">
        <f t="shared" si="5"/>
        <v>High</v>
      </c>
    </row>
    <row r="77" spans="1:17" x14ac:dyDescent="0.3">
      <c r="A77" t="s">
        <v>112</v>
      </c>
      <c r="B77" s="5">
        <v>45376</v>
      </c>
      <c r="C77" t="s">
        <v>552</v>
      </c>
      <c r="D77" t="s">
        <v>44</v>
      </c>
      <c r="E77" t="s">
        <v>552</v>
      </c>
      <c r="F77" t="s">
        <v>19</v>
      </c>
      <c r="G77" t="s">
        <v>15</v>
      </c>
      <c r="H77">
        <v>1</v>
      </c>
      <c r="I77">
        <v>799.5</v>
      </c>
      <c r="J77">
        <v>0</v>
      </c>
      <c r="K77" s="3">
        <v>499.99</v>
      </c>
      <c r="L77" t="s">
        <v>552</v>
      </c>
      <c r="M77" t="s">
        <v>552</v>
      </c>
      <c r="N77">
        <v>799.5</v>
      </c>
      <c r="O77">
        <f t="shared" si="3"/>
        <v>799.5</v>
      </c>
      <c r="P77" t="str">
        <f t="shared" si="4"/>
        <v>03-2024</v>
      </c>
      <c r="Q77" t="str">
        <f t="shared" si="5"/>
        <v>Normal</v>
      </c>
    </row>
    <row r="78" spans="1:17" x14ac:dyDescent="0.3">
      <c r="A78" t="s">
        <v>113</v>
      </c>
      <c r="B78" s="5">
        <v>45337</v>
      </c>
      <c r="C78" t="s">
        <v>552</v>
      </c>
      <c r="D78" t="s">
        <v>52</v>
      </c>
      <c r="E78" t="s">
        <v>552</v>
      </c>
      <c r="F78" t="s">
        <v>25</v>
      </c>
      <c r="G78" t="s">
        <v>20</v>
      </c>
      <c r="H78">
        <v>1</v>
      </c>
      <c r="I78">
        <v>25999</v>
      </c>
      <c r="J78">
        <v>0</v>
      </c>
      <c r="K78" s="3">
        <v>15000</v>
      </c>
      <c r="L78" t="s">
        <v>39</v>
      </c>
      <c r="M78" t="s">
        <v>37</v>
      </c>
      <c r="N78">
        <v>25999</v>
      </c>
      <c r="O78">
        <f t="shared" si="3"/>
        <v>25999</v>
      </c>
      <c r="P78" t="str">
        <f t="shared" si="4"/>
        <v>02-2024</v>
      </c>
      <c r="Q78" t="str">
        <f t="shared" si="5"/>
        <v>High</v>
      </c>
    </row>
    <row r="79" spans="1:17" x14ac:dyDescent="0.3">
      <c r="A79" t="s">
        <v>114</v>
      </c>
      <c r="B79" s="5">
        <v>45337</v>
      </c>
      <c r="C79" t="s">
        <v>552</v>
      </c>
      <c r="D79" t="s">
        <v>44</v>
      </c>
      <c r="E79" t="s">
        <v>552</v>
      </c>
      <c r="F79" t="s">
        <v>19</v>
      </c>
      <c r="G79" t="s">
        <v>60</v>
      </c>
      <c r="H79">
        <v>1</v>
      </c>
      <c r="I79">
        <v>499.99</v>
      </c>
      <c r="J79">
        <v>15</v>
      </c>
      <c r="K79" s="3">
        <v>15000</v>
      </c>
      <c r="L79" t="s">
        <v>552</v>
      </c>
      <c r="M79" t="s">
        <v>552</v>
      </c>
      <c r="N79">
        <v>424.99149999999997</v>
      </c>
      <c r="O79">
        <f t="shared" si="3"/>
        <v>499.99</v>
      </c>
      <c r="P79" t="str">
        <f t="shared" si="4"/>
        <v>02-2024</v>
      </c>
      <c r="Q79" t="str">
        <f t="shared" si="5"/>
        <v>Normal</v>
      </c>
    </row>
    <row r="80" spans="1:17" x14ac:dyDescent="0.3">
      <c r="A80" t="s">
        <v>115</v>
      </c>
      <c r="B80" s="5">
        <v>45337</v>
      </c>
      <c r="C80" t="s">
        <v>12</v>
      </c>
      <c r="D80" t="s">
        <v>44</v>
      </c>
      <c r="E80" t="s">
        <v>24</v>
      </c>
      <c r="F80" t="s">
        <v>19</v>
      </c>
      <c r="G80" t="s">
        <v>552</v>
      </c>
      <c r="H80">
        <v>1</v>
      </c>
      <c r="I80">
        <v>499.99</v>
      </c>
      <c r="J80">
        <v>15</v>
      </c>
      <c r="K80" s="3">
        <v>15000</v>
      </c>
      <c r="L80" t="s">
        <v>29</v>
      </c>
      <c r="M80" t="s">
        <v>16</v>
      </c>
      <c r="N80">
        <v>424.99149999999997</v>
      </c>
      <c r="O80">
        <f t="shared" si="3"/>
        <v>499.99</v>
      </c>
      <c r="P80" t="str">
        <f t="shared" si="4"/>
        <v>02-2024</v>
      </c>
      <c r="Q80" t="str">
        <f t="shared" si="5"/>
        <v>Normal</v>
      </c>
    </row>
    <row r="81" spans="1:17" x14ac:dyDescent="0.3">
      <c r="A81" t="s">
        <v>116</v>
      </c>
      <c r="C81" t="s">
        <v>552</v>
      </c>
      <c r="D81" t="s">
        <v>13</v>
      </c>
      <c r="E81" t="s">
        <v>36</v>
      </c>
      <c r="F81" t="s">
        <v>14</v>
      </c>
      <c r="G81" t="s">
        <v>60</v>
      </c>
      <c r="H81">
        <v>2</v>
      </c>
      <c r="I81">
        <v>7830.7177904328155</v>
      </c>
      <c r="J81">
        <v>15</v>
      </c>
      <c r="K81" s="3">
        <v>-500</v>
      </c>
      <c r="L81" t="s">
        <v>552</v>
      </c>
      <c r="M81" t="s">
        <v>37</v>
      </c>
      <c r="N81">
        <v>13312.220243735786</v>
      </c>
      <c r="O81">
        <f t="shared" si="3"/>
        <v>15661.435580865631</v>
      </c>
      <c r="P81" t="str">
        <f t="shared" si="4"/>
        <v>01-1900</v>
      </c>
      <c r="Q81" t="str">
        <f t="shared" si="5"/>
        <v>High</v>
      </c>
    </row>
    <row r="82" spans="1:17" x14ac:dyDescent="0.3">
      <c r="A82" t="s">
        <v>117</v>
      </c>
      <c r="B82" s="5">
        <v>45306</v>
      </c>
      <c r="C82" t="s">
        <v>552</v>
      </c>
      <c r="D82" t="s">
        <v>23</v>
      </c>
      <c r="E82" t="s">
        <v>552</v>
      </c>
      <c r="F82" t="s">
        <v>552</v>
      </c>
      <c r="G82" t="s">
        <v>28</v>
      </c>
      <c r="H82">
        <v>1</v>
      </c>
      <c r="I82">
        <v>499.99</v>
      </c>
      <c r="J82">
        <v>10</v>
      </c>
      <c r="K82" s="3">
        <v>15000</v>
      </c>
      <c r="L82" t="s">
        <v>552</v>
      </c>
      <c r="M82" t="s">
        <v>37</v>
      </c>
      <c r="N82">
        <v>449.99100000000004</v>
      </c>
      <c r="O82">
        <f t="shared" si="3"/>
        <v>499.99</v>
      </c>
      <c r="P82" t="str">
        <f t="shared" si="4"/>
        <v>01-2024</v>
      </c>
      <c r="Q82" t="str">
        <f t="shared" si="5"/>
        <v>Normal</v>
      </c>
    </row>
    <row r="83" spans="1:17" x14ac:dyDescent="0.3">
      <c r="A83" t="s">
        <v>269</v>
      </c>
      <c r="B83" s="5">
        <v>45376</v>
      </c>
      <c r="C83" t="s">
        <v>22</v>
      </c>
      <c r="D83" t="s">
        <v>44</v>
      </c>
      <c r="E83" t="s">
        <v>552</v>
      </c>
      <c r="F83" t="s">
        <v>552</v>
      </c>
      <c r="G83" t="s">
        <v>552</v>
      </c>
      <c r="H83">
        <v>3</v>
      </c>
      <c r="I83">
        <v>7830.7177904328155</v>
      </c>
      <c r="J83">
        <v>10</v>
      </c>
      <c r="K83" s="3">
        <v>15000</v>
      </c>
      <c r="L83" t="s">
        <v>29</v>
      </c>
      <c r="M83" t="s">
        <v>552</v>
      </c>
      <c r="N83">
        <v>25998</v>
      </c>
      <c r="O83">
        <f t="shared" si="3"/>
        <v>23492.153371298446</v>
      </c>
      <c r="P83" t="str">
        <f t="shared" si="4"/>
        <v>03-2024</v>
      </c>
      <c r="Q83" t="str">
        <f t="shared" si="5"/>
        <v>High</v>
      </c>
    </row>
    <row r="84" spans="1:17" x14ac:dyDescent="0.3">
      <c r="A84" t="s">
        <v>296</v>
      </c>
      <c r="B84" s="5">
        <v>45376</v>
      </c>
      <c r="C84" t="s">
        <v>12</v>
      </c>
      <c r="D84" t="s">
        <v>44</v>
      </c>
      <c r="E84" t="s">
        <v>24</v>
      </c>
      <c r="F84" t="s">
        <v>552</v>
      </c>
      <c r="G84" t="s">
        <v>47</v>
      </c>
      <c r="H84">
        <v>3</v>
      </c>
      <c r="I84">
        <v>7830.7177904328155</v>
      </c>
      <c r="J84">
        <v>5</v>
      </c>
      <c r="K84" s="3">
        <v>499.99</v>
      </c>
      <c r="L84" t="s">
        <v>39</v>
      </c>
      <c r="M84" t="s">
        <v>33</v>
      </c>
      <c r="N84">
        <v>24699.05</v>
      </c>
      <c r="O84">
        <f t="shared" si="3"/>
        <v>23492.153371298446</v>
      </c>
      <c r="P84" t="str">
        <f t="shared" si="4"/>
        <v>03-2024</v>
      </c>
      <c r="Q84" t="str">
        <f t="shared" si="5"/>
        <v>High</v>
      </c>
    </row>
    <row r="85" spans="1:17" x14ac:dyDescent="0.3">
      <c r="A85" t="s">
        <v>297</v>
      </c>
      <c r="B85" s="5">
        <v>45376</v>
      </c>
      <c r="C85" t="s">
        <v>32</v>
      </c>
      <c r="D85" t="s">
        <v>23</v>
      </c>
      <c r="E85" t="s">
        <v>18</v>
      </c>
      <c r="F85" t="s">
        <v>14</v>
      </c>
      <c r="G85" t="s">
        <v>552</v>
      </c>
      <c r="H85">
        <v>1</v>
      </c>
      <c r="I85">
        <v>12999</v>
      </c>
      <c r="J85">
        <v>5</v>
      </c>
      <c r="K85" s="3">
        <v>0</v>
      </c>
      <c r="L85" t="s">
        <v>53</v>
      </c>
      <c r="M85" t="s">
        <v>16</v>
      </c>
      <c r="N85">
        <v>24699.05</v>
      </c>
      <c r="O85">
        <f t="shared" si="3"/>
        <v>12999</v>
      </c>
      <c r="P85" t="str">
        <f t="shared" si="4"/>
        <v>03-2024</v>
      </c>
      <c r="Q85" t="str">
        <f t="shared" si="5"/>
        <v>High</v>
      </c>
    </row>
    <row r="86" spans="1:17" x14ac:dyDescent="0.3">
      <c r="A86" t="s">
        <v>302</v>
      </c>
      <c r="B86" s="5">
        <v>45376</v>
      </c>
      <c r="C86" t="s">
        <v>552</v>
      </c>
      <c r="D86" t="s">
        <v>44</v>
      </c>
      <c r="E86" t="s">
        <v>552</v>
      </c>
      <c r="F86" t="s">
        <v>552</v>
      </c>
      <c r="G86" t="s">
        <v>60</v>
      </c>
      <c r="H86">
        <v>1</v>
      </c>
      <c r="I86">
        <v>25999</v>
      </c>
      <c r="J86">
        <v>15</v>
      </c>
      <c r="K86" s="3">
        <v>0</v>
      </c>
      <c r="L86" t="s">
        <v>49</v>
      </c>
      <c r="M86" t="s">
        <v>30</v>
      </c>
      <c r="N86">
        <v>24699.05</v>
      </c>
      <c r="O86">
        <f t="shared" si="3"/>
        <v>25999</v>
      </c>
      <c r="P86" t="str">
        <f t="shared" si="4"/>
        <v>03-2024</v>
      </c>
      <c r="Q86" t="str">
        <f t="shared" si="5"/>
        <v>High</v>
      </c>
    </row>
    <row r="87" spans="1:17" x14ac:dyDescent="0.3">
      <c r="A87" t="s">
        <v>306</v>
      </c>
      <c r="B87" s="5">
        <v>45376</v>
      </c>
      <c r="C87" t="s">
        <v>27</v>
      </c>
      <c r="D87" t="s">
        <v>52</v>
      </c>
      <c r="E87" t="s">
        <v>36</v>
      </c>
      <c r="F87" t="s">
        <v>19</v>
      </c>
      <c r="G87" t="s">
        <v>60</v>
      </c>
      <c r="H87">
        <v>2</v>
      </c>
      <c r="I87">
        <v>12999</v>
      </c>
      <c r="J87">
        <v>0</v>
      </c>
      <c r="K87" s="3">
        <v>30000</v>
      </c>
      <c r="L87" t="s">
        <v>29</v>
      </c>
      <c r="M87" t="s">
        <v>33</v>
      </c>
      <c r="N87">
        <v>24699.05</v>
      </c>
      <c r="O87">
        <f t="shared" si="3"/>
        <v>25998</v>
      </c>
      <c r="P87" t="str">
        <f t="shared" si="4"/>
        <v>03-2024</v>
      </c>
      <c r="Q87" t="str">
        <f t="shared" si="5"/>
        <v>High</v>
      </c>
    </row>
    <row r="88" spans="1:17" x14ac:dyDescent="0.3">
      <c r="A88" t="s">
        <v>123</v>
      </c>
      <c r="C88" t="s">
        <v>552</v>
      </c>
      <c r="D88" t="s">
        <v>44</v>
      </c>
      <c r="E88" t="s">
        <v>36</v>
      </c>
      <c r="F88" t="s">
        <v>19</v>
      </c>
      <c r="G88" t="s">
        <v>60</v>
      </c>
      <c r="H88">
        <v>1</v>
      </c>
      <c r="I88">
        <v>499.99</v>
      </c>
      <c r="J88">
        <v>15</v>
      </c>
      <c r="K88" s="3">
        <v>499.99</v>
      </c>
      <c r="L88" t="s">
        <v>29</v>
      </c>
      <c r="M88" t="s">
        <v>33</v>
      </c>
      <c r="N88">
        <v>424.99149999999997</v>
      </c>
      <c r="O88">
        <f t="shared" si="3"/>
        <v>499.99</v>
      </c>
      <c r="P88" t="str">
        <f t="shared" si="4"/>
        <v>01-1900</v>
      </c>
      <c r="Q88" t="str">
        <f t="shared" si="5"/>
        <v>Normal</v>
      </c>
    </row>
    <row r="89" spans="1:17" x14ac:dyDescent="0.3">
      <c r="A89" t="s">
        <v>312</v>
      </c>
      <c r="B89" s="5">
        <v>45376</v>
      </c>
      <c r="C89" t="s">
        <v>27</v>
      </c>
      <c r="D89" t="s">
        <v>44</v>
      </c>
      <c r="E89" t="s">
        <v>552</v>
      </c>
      <c r="F89" t="s">
        <v>14</v>
      </c>
      <c r="G89" t="s">
        <v>552</v>
      </c>
      <c r="H89">
        <v>4</v>
      </c>
      <c r="I89">
        <v>7830.7177904328155</v>
      </c>
      <c r="J89">
        <v>50</v>
      </c>
      <c r="K89" s="3">
        <v>15000</v>
      </c>
      <c r="L89" t="s">
        <v>29</v>
      </c>
      <c r="M89" t="s">
        <v>552</v>
      </c>
      <c r="N89">
        <v>23492.153371298446</v>
      </c>
      <c r="O89">
        <f t="shared" si="3"/>
        <v>31322.871161731262</v>
      </c>
      <c r="P89" t="str">
        <f t="shared" si="4"/>
        <v>03-2024</v>
      </c>
      <c r="Q89" t="str">
        <f t="shared" si="5"/>
        <v>High</v>
      </c>
    </row>
    <row r="90" spans="1:17" x14ac:dyDescent="0.3">
      <c r="A90" t="s">
        <v>125</v>
      </c>
      <c r="C90" t="s">
        <v>12</v>
      </c>
      <c r="D90" t="s">
        <v>52</v>
      </c>
      <c r="E90" t="s">
        <v>24</v>
      </c>
      <c r="F90" t="s">
        <v>14</v>
      </c>
      <c r="G90" t="s">
        <v>60</v>
      </c>
      <c r="H90">
        <v>1</v>
      </c>
      <c r="I90">
        <v>7830.7177904328155</v>
      </c>
      <c r="J90">
        <v>0</v>
      </c>
      <c r="K90" s="3">
        <v>0</v>
      </c>
      <c r="L90" t="s">
        <v>39</v>
      </c>
      <c r="M90" t="s">
        <v>33</v>
      </c>
      <c r="N90">
        <v>7830.7177904328155</v>
      </c>
      <c r="O90">
        <f t="shared" si="3"/>
        <v>7830.7177904328155</v>
      </c>
      <c r="P90" t="str">
        <f t="shared" si="4"/>
        <v>01-1900</v>
      </c>
      <c r="Q90" t="str">
        <f t="shared" si="5"/>
        <v>Normal</v>
      </c>
    </row>
    <row r="91" spans="1:17" x14ac:dyDescent="0.3">
      <c r="A91" t="s">
        <v>337</v>
      </c>
      <c r="B91" s="5">
        <v>45376</v>
      </c>
      <c r="C91" t="s">
        <v>32</v>
      </c>
      <c r="D91" t="s">
        <v>44</v>
      </c>
      <c r="E91" t="s">
        <v>24</v>
      </c>
      <c r="F91" t="s">
        <v>25</v>
      </c>
      <c r="G91" t="s">
        <v>47</v>
      </c>
      <c r="H91">
        <v>2</v>
      </c>
      <c r="I91">
        <v>7830.7177904328155</v>
      </c>
      <c r="J91">
        <v>0</v>
      </c>
      <c r="K91" s="3">
        <v>0</v>
      </c>
      <c r="L91" t="s">
        <v>39</v>
      </c>
      <c r="M91" t="s">
        <v>552</v>
      </c>
      <c r="N91">
        <v>23492.153371298446</v>
      </c>
      <c r="O91">
        <f t="shared" si="3"/>
        <v>15661.435580865631</v>
      </c>
      <c r="P91" t="str">
        <f t="shared" si="4"/>
        <v>03-2024</v>
      </c>
      <c r="Q91" t="str">
        <f t="shared" si="5"/>
        <v>High</v>
      </c>
    </row>
    <row r="92" spans="1:17" x14ac:dyDescent="0.3">
      <c r="A92" t="s">
        <v>127</v>
      </c>
      <c r="B92" s="5">
        <v>45376</v>
      </c>
      <c r="C92" t="s">
        <v>32</v>
      </c>
      <c r="D92" t="s">
        <v>44</v>
      </c>
      <c r="E92" t="s">
        <v>24</v>
      </c>
      <c r="F92" t="s">
        <v>25</v>
      </c>
      <c r="G92" t="s">
        <v>60</v>
      </c>
      <c r="H92">
        <v>2</v>
      </c>
      <c r="I92">
        <v>7830.7177904328155</v>
      </c>
      <c r="J92">
        <v>5</v>
      </c>
      <c r="K92" s="3">
        <v>0</v>
      </c>
      <c r="L92" t="s">
        <v>49</v>
      </c>
      <c r="M92" t="s">
        <v>37</v>
      </c>
      <c r="N92">
        <v>14878.363801822348</v>
      </c>
      <c r="O92">
        <f t="shared" si="3"/>
        <v>15661.435580865631</v>
      </c>
      <c r="P92" t="str">
        <f t="shared" si="4"/>
        <v>03-2024</v>
      </c>
      <c r="Q92" t="str">
        <f t="shared" si="5"/>
        <v>High</v>
      </c>
    </row>
    <row r="93" spans="1:17" x14ac:dyDescent="0.3">
      <c r="A93" t="s">
        <v>128</v>
      </c>
      <c r="B93" s="5">
        <v>45337</v>
      </c>
      <c r="C93" t="s">
        <v>552</v>
      </c>
      <c r="D93" t="s">
        <v>552</v>
      </c>
      <c r="E93" t="s">
        <v>18</v>
      </c>
      <c r="F93" t="s">
        <v>19</v>
      </c>
      <c r="G93" t="s">
        <v>47</v>
      </c>
      <c r="H93">
        <v>1</v>
      </c>
      <c r="I93">
        <v>499.99</v>
      </c>
      <c r="J93">
        <v>10</v>
      </c>
      <c r="K93" s="3">
        <v>15000</v>
      </c>
      <c r="L93" t="s">
        <v>39</v>
      </c>
      <c r="M93" t="s">
        <v>30</v>
      </c>
      <c r="N93">
        <v>449.99100000000004</v>
      </c>
      <c r="O93">
        <f t="shared" si="3"/>
        <v>499.99</v>
      </c>
      <c r="P93" t="str">
        <f t="shared" si="4"/>
        <v>02-2024</v>
      </c>
      <c r="Q93" t="str">
        <f t="shared" si="5"/>
        <v>Normal</v>
      </c>
    </row>
    <row r="94" spans="1:17" x14ac:dyDescent="0.3">
      <c r="A94" t="s">
        <v>129</v>
      </c>
      <c r="B94" s="5">
        <v>45337</v>
      </c>
      <c r="C94" t="s">
        <v>12</v>
      </c>
      <c r="D94" t="s">
        <v>13</v>
      </c>
      <c r="E94" t="s">
        <v>36</v>
      </c>
      <c r="F94" t="s">
        <v>552</v>
      </c>
      <c r="G94" t="s">
        <v>28</v>
      </c>
      <c r="H94">
        <v>3</v>
      </c>
      <c r="I94">
        <v>799.5</v>
      </c>
      <c r="J94">
        <v>10</v>
      </c>
      <c r="K94" s="3">
        <v>499.99</v>
      </c>
      <c r="L94" t="s">
        <v>49</v>
      </c>
      <c r="M94" t="s">
        <v>16</v>
      </c>
      <c r="N94">
        <v>2158.65</v>
      </c>
      <c r="O94">
        <f t="shared" si="3"/>
        <v>2398.5</v>
      </c>
      <c r="P94" t="str">
        <f t="shared" si="4"/>
        <v>02-2024</v>
      </c>
      <c r="Q94" t="str">
        <f t="shared" si="5"/>
        <v>Normal</v>
      </c>
    </row>
    <row r="95" spans="1:17" x14ac:dyDescent="0.3">
      <c r="A95" t="s">
        <v>130</v>
      </c>
      <c r="B95" s="5">
        <v>45306</v>
      </c>
      <c r="C95" t="s">
        <v>32</v>
      </c>
      <c r="D95" t="s">
        <v>52</v>
      </c>
      <c r="E95" t="s">
        <v>552</v>
      </c>
      <c r="F95" t="s">
        <v>19</v>
      </c>
      <c r="G95" t="s">
        <v>60</v>
      </c>
      <c r="H95">
        <v>3</v>
      </c>
      <c r="I95">
        <v>799.5</v>
      </c>
      <c r="J95">
        <v>0</v>
      </c>
      <c r="K95" s="3">
        <v>30000</v>
      </c>
      <c r="L95" t="s">
        <v>49</v>
      </c>
      <c r="M95" t="s">
        <v>552</v>
      </c>
      <c r="N95">
        <v>2398.5</v>
      </c>
      <c r="O95">
        <f t="shared" si="3"/>
        <v>2398.5</v>
      </c>
      <c r="P95" t="str">
        <f t="shared" si="4"/>
        <v>01-2024</v>
      </c>
      <c r="Q95" t="str">
        <f t="shared" si="5"/>
        <v>Normal</v>
      </c>
    </row>
    <row r="96" spans="1:17" x14ac:dyDescent="0.3">
      <c r="A96" t="s">
        <v>131</v>
      </c>
      <c r="B96" s="5">
        <v>45376</v>
      </c>
      <c r="C96" t="s">
        <v>22</v>
      </c>
      <c r="D96" t="s">
        <v>44</v>
      </c>
      <c r="E96" t="s">
        <v>552</v>
      </c>
      <c r="F96" t="s">
        <v>552</v>
      </c>
      <c r="G96" t="s">
        <v>47</v>
      </c>
      <c r="H96">
        <v>1</v>
      </c>
      <c r="I96">
        <v>7830.7177904328155</v>
      </c>
      <c r="J96">
        <v>15</v>
      </c>
      <c r="K96" s="3">
        <v>30000</v>
      </c>
      <c r="L96" t="s">
        <v>552</v>
      </c>
      <c r="M96" t="s">
        <v>33</v>
      </c>
      <c r="N96">
        <v>6656.1101218678932</v>
      </c>
      <c r="O96">
        <f t="shared" si="3"/>
        <v>7830.7177904328155</v>
      </c>
      <c r="P96" t="str">
        <f t="shared" si="4"/>
        <v>03-2024</v>
      </c>
      <c r="Q96" t="str">
        <f t="shared" si="5"/>
        <v>Normal</v>
      </c>
    </row>
    <row r="97" spans="1:17" x14ac:dyDescent="0.3">
      <c r="A97" t="s">
        <v>132</v>
      </c>
      <c r="B97" s="5">
        <v>45306</v>
      </c>
      <c r="C97" t="s">
        <v>12</v>
      </c>
      <c r="D97" t="s">
        <v>552</v>
      </c>
      <c r="E97" t="s">
        <v>552</v>
      </c>
      <c r="F97" t="s">
        <v>19</v>
      </c>
      <c r="G97" t="s">
        <v>28</v>
      </c>
      <c r="H97">
        <v>1</v>
      </c>
      <c r="I97">
        <v>25999</v>
      </c>
      <c r="J97">
        <v>50</v>
      </c>
      <c r="K97" s="3">
        <v>30000</v>
      </c>
      <c r="L97" t="s">
        <v>53</v>
      </c>
      <c r="M97" t="s">
        <v>37</v>
      </c>
      <c r="N97">
        <v>12999.5</v>
      </c>
      <c r="O97">
        <f t="shared" si="3"/>
        <v>25999</v>
      </c>
      <c r="P97" t="str">
        <f t="shared" si="4"/>
        <v>01-2024</v>
      </c>
      <c r="Q97" t="str">
        <f t="shared" si="5"/>
        <v>High</v>
      </c>
    </row>
    <row r="98" spans="1:17" x14ac:dyDescent="0.3">
      <c r="A98" t="s">
        <v>343</v>
      </c>
      <c r="B98" s="5">
        <v>45376</v>
      </c>
      <c r="C98" t="s">
        <v>552</v>
      </c>
      <c r="D98" t="s">
        <v>13</v>
      </c>
      <c r="E98" t="s">
        <v>18</v>
      </c>
      <c r="F98" t="s">
        <v>552</v>
      </c>
      <c r="G98" t="s">
        <v>552</v>
      </c>
      <c r="H98">
        <v>2</v>
      </c>
      <c r="I98">
        <v>12999</v>
      </c>
      <c r="J98">
        <v>15</v>
      </c>
      <c r="K98" s="3">
        <v>499.99</v>
      </c>
      <c r="L98" t="s">
        <v>29</v>
      </c>
      <c r="M98" t="s">
        <v>30</v>
      </c>
      <c r="N98">
        <v>23399.100000000002</v>
      </c>
      <c r="O98">
        <f t="shared" si="3"/>
        <v>25998</v>
      </c>
      <c r="P98" t="str">
        <f t="shared" si="4"/>
        <v>03-2024</v>
      </c>
      <c r="Q98" t="str">
        <f t="shared" si="5"/>
        <v>High</v>
      </c>
    </row>
    <row r="99" spans="1:17" x14ac:dyDescent="0.3">
      <c r="A99" t="s">
        <v>134</v>
      </c>
      <c r="B99" s="5">
        <v>45306</v>
      </c>
      <c r="C99" t="s">
        <v>552</v>
      </c>
      <c r="D99" t="s">
        <v>52</v>
      </c>
      <c r="E99" t="s">
        <v>18</v>
      </c>
      <c r="F99" t="s">
        <v>14</v>
      </c>
      <c r="G99" t="s">
        <v>28</v>
      </c>
      <c r="H99">
        <v>1</v>
      </c>
      <c r="I99">
        <v>7830.7177904328155</v>
      </c>
      <c r="J99">
        <v>50</v>
      </c>
      <c r="K99" s="3">
        <v>0</v>
      </c>
      <c r="L99" t="s">
        <v>552</v>
      </c>
      <c r="M99" t="s">
        <v>37</v>
      </c>
      <c r="N99">
        <v>3915.3588952164077</v>
      </c>
      <c r="O99">
        <f t="shared" si="3"/>
        <v>7830.7177904328155</v>
      </c>
      <c r="P99" t="str">
        <f t="shared" si="4"/>
        <v>01-2024</v>
      </c>
      <c r="Q99" t="str">
        <f t="shared" si="5"/>
        <v>Normal</v>
      </c>
    </row>
    <row r="100" spans="1:17" x14ac:dyDescent="0.3">
      <c r="A100" t="s">
        <v>356</v>
      </c>
      <c r="B100" s="5">
        <v>45376</v>
      </c>
      <c r="C100" t="s">
        <v>22</v>
      </c>
      <c r="D100" t="s">
        <v>52</v>
      </c>
      <c r="E100" t="s">
        <v>24</v>
      </c>
      <c r="F100" t="s">
        <v>552</v>
      </c>
      <c r="G100" t="s">
        <v>60</v>
      </c>
      <c r="H100">
        <v>3</v>
      </c>
      <c r="I100">
        <v>12999</v>
      </c>
      <c r="J100">
        <v>0</v>
      </c>
      <c r="K100" s="3">
        <v>499.99</v>
      </c>
      <c r="L100" t="s">
        <v>29</v>
      </c>
      <c r="M100" t="s">
        <v>16</v>
      </c>
      <c r="N100">
        <v>23398.2</v>
      </c>
      <c r="O100">
        <f t="shared" si="3"/>
        <v>38997</v>
      </c>
      <c r="P100" t="str">
        <f t="shared" si="4"/>
        <v>03-2024</v>
      </c>
      <c r="Q100" t="str">
        <f t="shared" si="5"/>
        <v>High</v>
      </c>
    </row>
    <row r="101" spans="1:17" x14ac:dyDescent="0.3">
      <c r="A101" t="s">
        <v>360</v>
      </c>
      <c r="B101" s="5">
        <v>45376</v>
      </c>
      <c r="C101" t="s">
        <v>552</v>
      </c>
      <c r="D101" t="s">
        <v>52</v>
      </c>
      <c r="E101" t="s">
        <v>18</v>
      </c>
      <c r="F101" t="s">
        <v>552</v>
      </c>
      <c r="G101" t="s">
        <v>60</v>
      </c>
      <c r="H101">
        <v>4</v>
      </c>
      <c r="I101">
        <v>7830.7177904328155</v>
      </c>
      <c r="J101">
        <v>50</v>
      </c>
      <c r="K101" s="3">
        <v>-500</v>
      </c>
      <c r="L101" t="s">
        <v>29</v>
      </c>
      <c r="M101" t="s">
        <v>30</v>
      </c>
      <c r="N101">
        <v>22317.545702733521</v>
      </c>
      <c r="O101">
        <f t="shared" si="3"/>
        <v>31322.871161731262</v>
      </c>
      <c r="P101" t="str">
        <f t="shared" si="4"/>
        <v>03-2024</v>
      </c>
      <c r="Q101" t="str">
        <f t="shared" si="5"/>
        <v>High</v>
      </c>
    </row>
    <row r="102" spans="1:17" x14ac:dyDescent="0.3">
      <c r="A102" t="s">
        <v>137</v>
      </c>
      <c r="B102" s="5">
        <v>45337</v>
      </c>
      <c r="C102" t="s">
        <v>12</v>
      </c>
      <c r="D102" t="s">
        <v>44</v>
      </c>
      <c r="E102" t="s">
        <v>552</v>
      </c>
      <c r="F102" t="s">
        <v>552</v>
      </c>
      <c r="G102" t="s">
        <v>28</v>
      </c>
      <c r="H102">
        <v>1</v>
      </c>
      <c r="I102">
        <v>7830.7177904328155</v>
      </c>
      <c r="J102">
        <v>15</v>
      </c>
      <c r="K102" s="3">
        <v>30000</v>
      </c>
      <c r="L102" t="s">
        <v>39</v>
      </c>
      <c r="M102" t="s">
        <v>30</v>
      </c>
      <c r="N102">
        <v>6656.1101218678932</v>
      </c>
      <c r="O102">
        <f t="shared" si="3"/>
        <v>7830.7177904328155</v>
      </c>
      <c r="P102" t="str">
        <f t="shared" si="4"/>
        <v>02-2024</v>
      </c>
      <c r="Q102" t="str">
        <f t="shared" si="5"/>
        <v>Normal</v>
      </c>
    </row>
    <row r="103" spans="1:17" x14ac:dyDescent="0.3">
      <c r="A103" t="s">
        <v>138</v>
      </c>
      <c r="B103" s="5">
        <v>45376</v>
      </c>
      <c r="C103" t="s">
        <v>22</v>
      </c>
      <c r="D103" t="s">
        <v>44</v>
      </c>
      <c r="E103" t="s">
        <v>552</v>
      </c>
      <c r="F103" t="s">
        <v>14</v>
      </c>
      <c r="G103" t="s">
        <v>552</v>
      </c>
      <c r="H103">
        <v>1</v>
      </c>
      <c r="I103">
        <v>799.5</v>
      </c>
      <c r="J103">
        <v>5</v>
      </c>
      <c r="K103" s="3">
        <v>15000</v>
      </c>
      <c r="L103" t="s">
        <v>552</v>
      </c>
      <c r="M103" t="s">
        <v>30</v>
      </c>
      <c r="N103">
        <v>759.52499999999998</v>
      </c>
      <c r="O103">
        <f t="shared" si="3"/>
        <v>799.5</v>
      </c>
      <c r="P103" t="str">
        <f t="shared" si="4"/>
        <v>03-2024</v>
      </c>
      <c r="Q103" t="str">
        <f t="shared" si="5"/>
        <v>Normal</v>
      </c>
    </row>
    <row r="104" spans="1:17" x14ac:dyDescent="0.3">
      <c r="A104" t="s">
        <v>365</v>
      </c>
      <c r="B104" s="5">
        <v>45376</v>
      </c>
      <c r="C104" t="s">
        <v>22</v>
      </c>
      <c r="D104" t="s">
        <v>552</v>
      </c>
      <c r="E104" t="s">
        <v>552</v>
      </c>
      <c r="F104" t="s">
        <v>552</v>
      </c>
      <c r="G104" t="s">
        <v>552</v>
      </c>
      <c r="H104">
        <v>1</v>
      </c>
      <c r="I104">
        <v>25999</v>
      </c>
      <c r="J104">
        <v>5</v>
      </c>
      <c r="K104" s="3">
        <v>0</v>
      </c>
      <c r="L104" t="s">
        <v>29</v>
      </c>
      <c r="M104" t="s">
        <v>33</v>
      </c>
      <c r="N104">
        <v>22317.545702733521</v>
      </c>
      <c r="O104">
        <f t="shared" si="3"/>
        <v>25999</v>
      </c>
      <c r="P104" t="str">
        <f t="shared" si="4"/>
        <v>03-2024</v>
      </c>
      <c r="Q104" t="str">
        <f t="shared" si="5"/>
        <v>High</v>
      </c>
    </row>
    <row r="105" spans="1:17" x14ac:dyDescent="0.3">
      <c r="A105" t="s">
        <v>389</v>
      </c>
      <c r="B105" s="5">
        <v>45376</v>
      </c>
      <c r="C105" t="s">
        <v>27</v>
      </c>
      <c r="D105" t="s">
        <v>44</v>
      </c>
      <c r="E105" t="s">
        <v>18</v>
      </c>
      <c r="F105" t="s">
        <v>25</v>
      </c>
      <c r="G105" t="s">
        <v>20</v>
      </c>
      <c r="H105">
        <v>1</v>
      </c>
      <c r="I105">
        <v>25999</v>
      </c>
      <c r="J105">
        <v>5</v>
      </c>
      <c r="K105" s="3">
        <v>0</v>
      </c>
      <c r="L105" t="s">
        <v>39</v>
      </c>
      <c r="M105" t="s">
        <v>33</v>
      </c>
      <c r="N105">
        <v>22099.149999999998</v>
      </c>
      <c r="O105">
        <f t="shared" si="3"/>
        <v>25999</v>
      </c>
      <c r="P105" t="str">
        <f t="shared" si="4"/>
        <v>03-2024</v>
      </c>
      <c r="Q105" t="str">
        <f t="shared" si="5"/>
        <v>High</v>
      </c>
    </row>
    <row r="106" spans="1:17" x14ac:dyDescent="0.3">
      <c r="A106" t="s">
        <v>141</v>
      </c>
      <c r="B106" s="5">
        <v>45306</v>
      </c>
      <c r="C106" t="s">
        <v>32</v>
      </c>
      <c r="D106" t="s">
        <v>552</v>
      </c>
      <c r="E106" t="s">
        <v>24</v>
      </c>
      <c r="F106" t="s">
        <v>14</v>
      </c>
      <c r="G106" t="s">
        <v>20</v>
      </c>
      <c r="H106">
        <v>1</v>
      </c>
      <c r="I106">
        <v>7830.7177904328155</v>
      </c>
      <c r="J106">
        <v>10</v>
      </c>
      <c r="K106" s="3">
        <v>-500</v>
      </c>
      <c r="L106" t="s">
        <v>53</v>
      </c>
      <c r="M106" t="s">
        <v>552</v>
      </c>
      <c r="N106">
        <v>7047.6460113895337</v>
      </c>
      <c r="O106">
        <f t="shared" si="3"/>
        <v>7830.7177904328155</v>
      </c>
      <c r="P106" t="str">
        <f t="shared" si="4"/>
        <v>01-2024</v>
      </c>
      <c r="Q106" t="str">
        <f t="shared" si="5"/>
        <v>Normal</v>
      </c>
    </row>
    <row r="107" spans="1:17" x14ac:dyDescent="0.3">
      <c r="A107" t="s">
        <v>142</v>
      </c>
      <c r="B107" s="5">
        <v>45376</v>
      </c>
      <c r="C107" t="s">
        <v>552</v>
      </c>
      <c r="D107" t="s">
        <v>552</v>
      </c>
      <c r="E107" t="s">
        <v>552</v>
      </c>
      <c r="F107" t="s">
        <v>552</v>
      </c>
      <c r="G107" t="s">
        <v>552</v>
      </c>
      <c r="H107">
        <v>1</v>
      </c>
      <c r="I107">
        <v>12999</v>
      </c>
      <c r="J107">
        <v>50</v>
      </c>
      <c r="K107" s="3">
        <v>-500</v>
      </c>
      <c r="L107" t="s">
        <v>49</v>
      </c>
      <c r="M107" t="s">
        <v>33</v>
      </c>
      <c r="N107">
        <v>6499.5</v>
      </c>
      <c r="O107">
        <f t="shared" si="3"/>
        <v>12999</v>
      </c>
      <c r="P107" t="str">
        <f t="shared" si="4"/>
        <v>03-2024</v>
      </c>
      <c r="Q107" t="str">
        <f t="shared" si="5"/>
        <v>Normal</v>
      </c>
    </row>
    <row r="108" spans="1:17" x14ac:dyDescent="0.3">
      <c r="A108" t="s">
        <v>143</v>
      </c>
      <c r="B108" s="5">
        <v>45337</v>
      </c>
      <c r="C108" t="s">
        <v>552</v>
      </c>
      <c r="D108" t="s">
        <v>23</v>
      </c>
      <c r="E108" t="s">
        <v>18</v>
      </c>
      <c r="F108" t="s">
        <v>25</v>
      </c>
      <c r="G108" t="s">
        <v>60</v>
      </c>
      <c r="H108">
        <v>1</v>
      </c>
      <c r="I108">
        <v>799.5</v>
      </c>
      <c r="J108">
        <v>10</v>
      </c>
      <c r="K108" s="3">
        <v>499.99</v>
      </c>
      <c r="L108" t="s">
        <v>39</v>
      </c>
      <c r="M108" t="s">
        <v>37</v>
      </c>
      <c r="N108">
        <v>719.55000000000007</v>
      </c>
      <c r="O108">
        <f t="shared" si="3"/>
        <v>799.5</v>
      </c>
      <c r="P108" t="str">
        <f t="shared" si="4"/>
        <v>02-2024</v>
      </c>
      <c r="Q108" t="str">
        <f t="shared" si="5"/>
        <v>Normal</v>
      </c>
    </row>
    <row r="109" spans="1:17" x14ac:dyDescent="0.3">
      <c r="A109" t="s">
        <v>144</v>
      </c>
      <c r="B109" s="5">
        <v>45376</v>
      </c>
      <c r="C109" t="s">
        <v>32</v>
      </c>
      <c r="D109" t="s">
        <v>44</v>
      </c>
      <c r="E109" t="s">
        <v>24</v>
      </c>
      <c r="F109" t="s">
        <v>552</v>
      </c>
      <c r="G109" t="s">
        <v>552</v>
      </c>
      <c r="H109">
        <v>1</v>
      </c>
      <c r="I109">
        <v>7830.7177904328155</v>
      </c>
      <c r="J109">
        <v>5</v>
      </c>
      <c r="K109" s="3">
        <v>15000</v>
      </c>
      <c r="L109" t="s">
        <v>39</v>
      </c>
      <c r="M109" t="s">
        <v>33</v>
      </c>
      <c r="N109">
        <v>7439.1819009111741</v>
      </c>
      <c r="O109">
        <f t="shared" si="3"/>
        <v>7830.7177904328155</v>
      </c>
      <c r="P109" t="str">
        <f t="shared" si="4"/>
        <v>03-2024</v>
      </c>
      <c r="Q109" t="str">
        <f t="shared" si="5"/>
        <v>Normal</v>
      </c>
    </row>
    <row r="110" spans="1:17" x14ac:dyDescent="0.3">
      <c r="A110" t="s">
        <v>145</v>
      </c>
      <c r="B110" s="5">
        <v>45337</v>
      </c>
      <c r="C110" t="s">
        <v>552</v>
      </c>
      <c r="D110" t="s">
        <v>44</v>
      </c>
      <c r="E110" t="s">
        <v>24</v>
      </c>
      <c r="F110" t="s">
        <v>552</v>
      </c>
      <c r="G110" t="s">
        <v>552</v>
      </c>
      <c r="H110">
        <v>3</v>
      </c>
      <c r="I110">
        <v>12999</v>
      </c>
      <c r="J110">
        <v>0</v>
      </c>
      <c r="K110" s="3">
        <v>-500</v>
      </c>
      <c r="L110" t="s">
        <v>552</v>
      </c>
      <c r="M110" t="s">
        <v>37</v>
      </c>
      <c r="N110">
        <v>38997</v>
      </c>
      <c r="O110">
        <f t="shared" si="3"/>
        <v>38997</v>
      </c>
      <c r="P110" t="str">
        <f t="shared" si="4"/>
        <v>02-2024</v>
      </c>
      <c r="Q110" t="str">
        <f t="shared" si="5"/>
        <v>High</v>
      </c>
    </row>
    <row r="111" spans="1:17" x14ac:dyDescent="0.3">
      <c r="A111" t="s">
        <v>146</v>
      </c>
      <c r="C111" t="s">
        <v>27</v>
      </c>
      <c r="D111" t="s">
        <v>552</v>
      </c>
      <c r="E111" t="s">
        <v>18</v>
      </c>
      <c r="F111" t="s">
        <v>19</v>
      </c>
      <c r="G111" t="s">
        <v>47</v>
      </c>
      <c r="H111">
        <v>1</v>
      </c>
      <c r="I111">
        <v>12999</v>
      </c>
      <c r="J111">
        <v>10</v>
      </c>
      <c r="K111" s="3">
        <v>15000</v>
      </c>
      <c r="L111" t="s">
        <v>53</v>
      </c>
      <c r="M111" t="s">
        <v>37</v>
      </c>
      <c r="N111">
        <v>11699.1</v>
      </c>
      <c r="O111">
        <f t="shared" si="3"/>
        <v>12999</v>
      </c>
      <c r="P111" t="str">
        <f t="shared" si="4"/>
        <v>01-1900</v>
      </c>
      <c r="Q111" t="str">
        <f t="shared" si="5"/>
        <v>High</v>
      </c>
    </row>
    <row r="112" spans="1:17" x14ac:dyDescent="0.3">
      <c r="A112" t="s">
        <v>147</v>
      </c>
      <c r="B112" s="5">
        <v>45337</v>
      </c>
      <c r="C112" t="s">
        <v>32</v>
      </c>
      <c r="D112" t="s">
        <v>44</v>
      </c>
      <c r="E112" t="s">
        <v>18</v>
      </c>
      <c r="F112" t="s">
        <v>552</v>
      </c>
      <c r="G112" t="s">
        <v>47</v>
      </c>
      <c r="H112">
        <v>2</v>
      </c>
      <c r="I112">
        <v>7830.7177904328155</v>
      </c>
      <c r="J112">
        <v>50</v>
      </c>
      <c r="K112" s="3">
        <v>0</v>
      </c>
      <c r="L112" t="s">
        <v>552</v>
      </c>
      <c r="M112" t="s">
        <v>552</v>
      </c>
      <c r="N112">
        <v>7830.7177904328155</v>
      </c>
      <c r="O112">
        <f t="shared" si="3"/>
        <v>15661.435580865631</v>
      </c>
      <c r="P112" t="str">
        <f t="shared" si="4"/>
        <v>02-2024</v>
      </c>
      <c r="Q112" t="str">
        <f t="shared" si="5"/>
        <v>Normal</v>
      </c>
    </row>
    <row r="113" spans="1:17" x14ac:dyDescent="0.3">
      <c r="A113" t="s">
        <v>148</v>
      </c>
      <c r="C113" t="s">
        <v>552</v>
      </c>
      <c r="D113" t="s">
        <v>552</v>
      </c>
      <c r="E113" t="s">
        <v>36</v>
      </c>
      <c r="F113" t="s">
        <v>14</v>
      </c>
      <c r="G113" t="s">
        <v>60</v>
      </c>
      <c r="H113">
        <v>1</v>
      </c>
      <c r="I113">
        <v>499.99</v>
      </c>
      <c r="J113">
        <v>5</v>
      </c>
      <c r="K113" s="3">
        <v>0</v>
      </c>
      <c r="L113" t="s">
        <v>53</v>
      </c>
      <c r="M113" t="s">
        <v>37</v>
      </c>
      <c r="N113">
        <v>474.9905</v>
      </c>
      <c r="O113">
        <f t="shared" si="3"/>
        <v>499.99</v>
      </c>
      <c r="P113" t="str">
        <f t="shared" si="4"/>
        <v>01-1900</v>
      </c>
      <c r="Q113" t="str">
        <f t="shared" si="5"/>
        <v>Normal</v>
      </c>
    </row>
    <row r="114" spans="1:17" x14ac:dyDescent="0.3">
      <c r="A114" t="s">
        <v>149</v>
      </c>
      <c r="B114" s="5">
        <v>45376</v>
      </c>
      <c r="C114" t="s">
        <v>12</v>
      </c>
      <c r="D114" t="s">
        <v>552</v>
      </c>
      <c r="E114" t="s">
        <v>552</v>
      </c>
      <c r="F114" t="s">
        <v>552</v>
      </c>
      <c r="G114" t="s">
        <v>15</v>
      </c>
      <c r="H114">
        <v>3</v>
      </c>
      <c r="I114">
        <v>799.5</v>
      </c>
      <c r="J114">
        <v>0</v>
      </c>
      <c r="K114" s="3">
        <v>15000</v>
      </c>
      <c r="L114" t="s">
        <v>39</v>
      </c>
      <c r="M114" t="s">
        <v>552</v>
      </c>
      <c r="N114">
        <v>2398.5</v>
      </c>
      <c r="O114">
        <f t="shared" si="3"/>
        <v>2398.5</v>
      </c>
      <c r="P114" t="str">
        <f t="shared" si="4"/>
        <v>03-2024</v>
      </c>
      <c r="Q114" t="str">
        <f t="shared" si="5"/>
        <v>Normal</v>
      </c>
    </row>
    <row r="115" spans="1:17" x14ac:dyDescent="0.3">
      <c r="A115" t="s">
        <v>150</v>
      </c>
      <c r="B115" s="5">
        <v>45337</v>
      </c>
      <c r="C115" t="s">
        <v>12</v>
      </c>
      <c r="D115" t="s">
        <v>552</v>
      </c>
      <c r="E115" t="s">
        <v>18</v>
      </c>
      <c r="F115" t="s">
        <v>552</v>
      </c>
      <c r="G115" t="s">
        <v>47</v>
      </c>
      <c r="H115">
        <v>3</v>
      </c>
      <c r="I115">
        <v>799.5</v>
      </c>
      <c r="J115">
        <v>5</v>
      </c>
      <c r="K115" s="3">
        <v>0</v>
      </c>
      <c r="L115" t="s">
        <v>39</v>
      </c>
      <c r="M115" t="s">
        <v>30</v>
      </c>
      <c r="N115">
        <v>2278.5749999999998</v>
      </c>
      <c r="O115">
        <f t="shared" si="3"/>
        <v>2398.5</v>
      </c>
      <c r="P115" t="str">
        <f t="shared" si="4"/>
        <v>02-2024</v>
      </c>
      <c r="Q115" t="str">
        <f t="shared" si="5"/>
        <v>Normal</v>
      </c>
    </row>
    <row r="116" spans="1:17" x14ac:dyDescent="0.3">
      <c r="A116" t="s">
        <v>151</v>
      </c>
      <c r="B116" s="5">
        <v>45306</v>
      </c>
      <c r="C116" t="s">
        <v>32</v>
      </c>
      <c r="D116" t="s">
        <v>23</v>
      </c>
      <c r="E116" t="s">
        <v>552</v>
      </c>
      <c r="F116" t="s">
        <v>14</v>
      </c>
      <c r="G116" t="s">
        <v>20</v>
      </c>
      <c r="H116">
        <v>2</v>
      </c>
      <c r="I116">
        <v>499.99</v>
      </c>
      <c r="J116">
        <v>0</v>
      </c>
      <c r="K116" s="3">
        <v>0</v>
      </c>
      <c r="L116" t="s">
        <v>49</v>
      </c>
      <c r="M116" t="s">
        <v>552</v>
      </c>
      <c r="N116">
        <v>999.98</v>
      </c>
      <c r="O116">
        <f t="shared" si="3"/>
        <v>999.98</v>
      </c>
      <c r="P116" t="str">
        <f t="shared" si="4"/>
        <v>01-2024</v>
      </c>
      <c r="Q116" t="str">
        <f t="shared" si="5"/>
        <v>Normal</v>
      </c>
    </row>
    <row r="117" spans="1:17" x14ac:dyDescent="0.3">
      <c r="A117" t="s">
        <v>152</v>
      </c>
      <c r="B117" s="5">
        <v>45337</v>
      </c>
      <c r="C117" t="s">
        <v>552</v>
      </c>
      <c r="D117" t="s">
        <v>44</v>
      </c>
      <c r="E117" t="s">
        <v>36</v>
      </c>
      <c r="F117" t="s">
        <v>19</v>
      </c>
      <c r="G117" t="s">
        <v>47</v>
      </c>
      <c r="H117">
        <v>1</v>
      </c>
      <c r="I117">
        <v>12999</v>
      </c>
      <c r="J117">
        <v>50</v>
      </c>
      <c r="K117" s="3">
        <v>-500</v>
      </c>
      <c r="L117" t="s">
        <v>29</v>
      </c>
      <c r="M117" t="s">
        <v>16</v>
      </c>
      <c r="N117">
        <v>6499.5</v>
      </c>
      <c r="O117">
        <f t="shared" si="3"/>
        <v>12999</v>
      </c>
      <c r="P117" t="str">
        <f t="shared" si="4"/>
        <v>02-2024</v>
      </c>
      <c r="Q117" t="str">
        <f t="shared" si="5"/>
        <v>Normal</v>
      </c>
    </row>
    <row r="118" spans="1:17" x14ac:dyDescent="0.3">
      <c r="A118" t="s">
        <v>153</v>
      </c>
      <c r="C118" t="s">
        <v>12</v>
      </c>
      <c r="D118" t="s">
        <v>13</v>
      </c>
      <c r="E118" t="s">
        <v>552</v>
      </c>
      <c r="F118" t="s">
        <v>19</v>
      </c>
      <c r="G118" t="s">
        <v>20</v>
      </c>
      <c r="H118">
        <v>1</v>
      </c>
      <c r="I118">
        <v>499.99</v>
      </c>
      <c r="J118">
        <v>50</v>
      </c>
      <c r="K118" s="3">
        <v>0</v>
      </c>
      <c r="L118" t="s">
        <v>552</v>
      </c>
      <c r="M118" t="s">
        <v>16</v>
      </c>
      <c r="N118">
        <v>249.995</v>
      </c>
      <c r="O118">
        <f t="shared" si="3"/>
        <v>499.99</v>
      </c>
      <c r="P118" t="str">
        <f t="shared" si="4"/>
        <v>01-1900</v>
      </c>
      <c r="Q118" t="str">
        <f t="shared" si="5"/>
        <v>Normal</v>
      </c>
    </row>
    <row r="119" spans="1:17" x14ac:dyDescent="0.3">
      <c r="A119" t="s">
        <v>402</v>
      </c>
      <c r="B119" s="5">
        <v>45376</v>
      </c>
      <c r="C119" t="s">
        <v>32</v>
      </c>
      <c r="D119" t="s">
        <v>23</v>
      </c>
      <c r="E119" t="s">
        <v>24</v>
      </c>
      <c r="F119" t="s">
        <v>552</v>
      </c>
      <c r="G119" t="s">
        <v>47</v>
      </c>
      <c r="H119">
        <v>4</v>
      </c>
      <c r="I119">
        <v>12999</v>
      </c>
      <c r="J119">
        <v>0</v>
      </c>
      <c r="K119" s="3">
        <v>499.99</v>
      </c>
      <c r="L119" t="s">
        <v>53</v>
      </c>
      <c r="M119" t="s">
        <v>30</v>
      </c>
      <c r="N119">
        <v>22099.149999999998</v>
      </c>
      <c r="O119">
        <f t="shared" si="3"/>
        <v>51996</v>
      </c>
      <c r="P119" t="str">
        <f t="shared" si="4"/>
        <v>03-2024</v>
      </c>
      <c r="Q119" t="str">
        <f t="shared" si="5"/>
        <v>High</v>
      </c>
    </row>
    <row r="120" spans="1:17" x14ac:dyDescent="0.3">
      <c r="A120" t="s">
        <v>155</v>
      </c>
      <c r="B120" s="5">
        <v>45306</v>
      </c>
      <c r="C120" t="s">
        <v>12</v>
      </c>
      <c r="D120" t="s">
        <v>552</v>
      </c>
      <c r="E120" t="s">
        <v>24</v>
      </c>
      <c r="F120" t="s">
        <v>14</v>
      </c>
      <c r="G120" t="s">
        <v>60</v>
      </c>
      <c r="H120">
        <v>2</v>
      </c>
      <c r="I120">
        <v>7830.7177904328155</v>
      </c>
      <c r="J120">
        <v>5</v>
      </c>
      <c r="K120" s="3">
        <v>30000</v>
      </c>
      <c r="L120" t="s">
        <v>39</v>
      </c>
      <c r="M120" t="s">
        <v>37</v>
      </c>
      <c r="N120">
        <v>14878.363801822348</v>
      </c>
      <c r="O120">
        <f t="shared" si="3"/>
        <v>15661.435580865631</v>
      </c>
      <c r="P120" t="str">
        <f t="shared" si="4"/>
        <v>01-2024</v>
      </c>
      <c r="Q120" t="str">
        <f t="shared" si="5"/>
        <v>High</v>
      </c>
    </row>
    <row r="121" spans="1:17" x14ac:dyDescent="0.3">
      <c r="A121" t="s">
        <v>156</v>
      </c>
      <c r="B121" s="5">
        <v>45306</v>
      </c>
      <c r="C121" t="s">
        <v>552</v>
      </c>
      <c r="D121" t="s">
        <v>44</v>
      </c>
      <c r="E121" t="s">
        <v>552</v>
      </c>
      <c r="F121" t="s">
        <v>25</v>
      </c>
      <c r="G121" t="s">
        <v>552</v>
      </c>
      <c r="H121">
        <v>3</v>
      </c>
      <c r="I121">
        <v>7830.7177904328155</v>
      </c>
      <c r="J121">
        <v>0</v>
      </c>
      <c r="K121" s="3">
        <v>15000</v>
      </c>
      <c r="L121" t="s">
        <v>39</v>
      </c>
      <c r="M121" t="s">
        <v>37</v>
      </c>
      <c r="N121">
        <v>23492.153371298446</v>
      </c>
      <c r="O121">
        <f t="shared" si="3"/>
        <v>23492.153371298446</v>
      </c>
      <c r="P121" t="str">
        <f t="shared" si="4"/>
        <v>01-2024</v>
      </c>
      <c r="Q121" t="str">
        <f t="shared" si="5"/>
        <v>High</v>
      </c>
    </row>
    <row r="122" spans="1:17" x14ac:dyDescent="0.3">
      <c r="A122" t="s">
        <v>157</v>
      </c>
      <c r="C122" t="s">
        <v>27</v>
      </c>
      <c r="D122" t="s">
        <v>52</v>
      </c>
      <c r="E122" t="s">
        <v>552</v>
      </c>
      <c r="F122" t="s">
        <v>552</v>
      </c>
      <c r="G122" t="s">
        <v>28</v>
      </c>
      <c r="H122">
        <v>1</v>
      </c>
      <c r="I122">
        <v>25999</v>
      </c>
      <c r="J122">
        <v>5</v>
      </c>
      <c r="K122" s="3">
        <v>0</v>
      </c>
      <c r="L122" t="s">
        <v>53</v>
      </c>
      <c r="M122" t="s">
        <v>37</v>
      </c>
      <c r="N122">
        <v>24699.05</v>
      </c>
      <c r="O122">
        <f t="shared" si="3"/>
        <v>25999</v>
      </c>
      <c r="P122" t="str">
        <f t="shared" si="4"/>
        <v>01-1900</v>
      </c>
      <c r="Q122" t="str">
        <f t="shared" si="5"/>
        <v>High</v>
      </c>
    </row>
    <row r="123" spans="1:17" x14ac:dyDescent="0.3">
      <c r="A123" t="s">
        <v>158</v>
      </c>
      <c r="C123" t="s">
        <v>12</v>
      </c>
      <c r="D123" t="s">
        <v>552</v>
      </c>
      <c r="E123" t="s">
        <v>36</v>
      </c>
      <c r="F123" t="s">
        <v>14</v>
      </c>
      <c r="G123" t="s">
        <v>552</v>
      </c>
      <c r="H123">
        <v>3</v>
      </c>
      <c r="I123">
        <v>799.5</v>
      </c>
      <c r="J123">
        <v>0</v>
      </c>
      <c r="K123" s="3">
        <v>0</v>
      </c>
      <c r="L123" t="s">
        <v>53</v>
      </c>
      <c r="M123" t="s">
        <v>552</v>
      </c>
      <c r="N123">
        <v>2398.5</v>
      </c>
      <c r="O123">
        <f t="shared" si="3"/>
        <v>2398.5</v>
      </c>
      <c r="P123" t="str">
        <f t="shared" si="4"/>
        <v>01-1900</v>
      </c>
      <c r="Q123" t="str">
        <f t="shared" si="5"/>
        <v>Normal</v>
      </c>
    </row>
    <row r="124" spans="1:17" x14ac:dyDescent="0.3">
      <c r="A124" t="s">
        <v>421</v>
      </c>
      <c r="B124" s="5">
        <v>45376</v>
      </c>
      <c r="C124" t="s">
        <v>12</v>
      </c>
      <c r="D124" t="s">
        <v>44</v>
      </c>
      <c r="E124" t="s">
        <v>36</v>
      </c>
      <c r="F124" t="s">
        <v>19</v>
      </c>
      <c r="G124" t="s">
        <v>15</v>
      </c>
      <c r="H124">
        <v>2</v>
      </c>
      <c r="I124">
        <v>7830.7177904328155</v>
      </c>
      <c r="J124">
        <v>0</v>
      </c>
      <c r="K124" s="3">
        <v>0</v>
      </c>
      <c r="L124" t="s">
        <v>552</v>
      </c>
      <c r="M124" t="s">
        <v>552</v>
      </c>
      <c r="N124">
        <v>15661.435580865631</v>
      </c>
      <c r="O124">
        <f t="shared" si="3"/>
        <v>15661.435580865631</v>
      </c>
      <c r="P124" t="str">
        <f t="shared" si="4"/>
        <v>03-2024</v>
      </c>
      <c r="Q124" t="str">
        <f t="shared" si="5"/>
        <v>High</v>
      </c>
    </row>
    <row r="125" spans="1:17" x14ac:dyDescent="0.3">
      <c r="A125" t="s">
        <v>438</v>
      </c>
      <c r="B125" s="5">
        <v>45376</v>
      </c>
      <c r="C125" t="s">
        <v>552</v>
      </c>
      <c r="D125" t="s">
        <v>552</v>
      </c>
      <c r="E125" t="s">
        <v>36</v>
      </c>
      <c r="F125" t="s">
        <v>19</v>
      </c>
      <c r="G125" t="s">
        <v>552</v>
      </c>
      <c r="H125">
        <v>2</v>
      </c>
      <c r="I125">
        <v>7830.7177904328155</v>
      </c>
      <c r="J125">
        <v>5</v>
      </c>
      <c r="K125" s="3">
        <v>499.99</v>
      </c>
      <c r="L125" t="s">
        <v>39</v>
      </c>
      <c r="M125" t="s">
        <v>30</v>
      </c>
      <c r="N125">
        <v>15661.435580865631</v>
      </c>
      <c r="O125">
        <f t="shared" si="3"/>
        <v>15661.435580865631</v>
      </c>
      <c r="P125" t="str">
        <f t="shared" si="4"/>
        <v>03-2024</v>
      </c>
      <c r="Q125" t="str">
        <f t="shared" si="5"/>
        <v>High</v>
      </c>
    </row>
    <row r="126" spans="1:17" x14ac:dyDescent="0.3">
      <c r="A126" t="s">
        <v>440</v>
      </c>
      <c r="B126" s="5">
        <v>45376</v>
      </c>
      <c r="C126" t="s">
        <v>27</v>
      </c>
      <c r="D126" t="s">
        <v>52</v>
      </c>
      <c r="E126" t="s">
        <v>552</v>
      </c>
      <c r="F126" t="s">
        <v>14</v>
      </c>
      <c r="G126" t="s">
        <v>552</v>
      </c>
      <c r="H126">
        <v>4</v>
      </c>
      <c r="I126">
        <v>7830.7177904328155</v>
      </c>
      <c r="J126">
        <v>0</v>
      </c>
      <c r="K126" s="3">
        <v>0</v>
      </c>
      <c r="L126" t="s">
        <v>39</v>
      </c>
      <c r="M126" t="s">
        <v>552</v>
      </c>
      <c r="N126">
        <v>15661.435580865631</v>
      </c>
      <c r="O126">
        <f t="shared" si="3"/>
        <v>31322.871161731262</v>
      </c>
      <c r="P126" t="str">
        <f t="shared" si="4"/>
        <v>03-2024</v>
      </c>
      <c r="Q126" t="str">
        <f t="shared" si="5"/>
        <v>High</v>
      </c>
    </row>
    <row r="127" spans="1:17" x14ac:dyDescent="0.3">
      <c r="A127" t="s">
        <v>453</v>
      </c>
      <c r="B127" s="5">
        <v>45376</v>
      </c>
      <c r="C127" t="s">
        <v>12</v>
      </c>
      <c r="D127" t="s">
        <v>13</v>
      </c>
      <c r="E127" t="s">
        <v>18</v>
      </c>
      <c r="F127" t="s">
        <v>552</v>
      </c>
      <c r="G127" t="s">
        <v>20</v>
      </c>
      <c r="H127">
        <v>2</v>
      </c>
      <c r="I127">
        <v>12999</v>
      </c>
      <c r="J127">
        <v>0</v>
      </c>
      <c r="K127" s="3">
        <v>0</v>
      </c>
      <c r="L127" t="s">
        <v>49</v>
      </c>
      <c r="M127" t="s">
        <v>33</v>
      </c>
      <c r="N127">
        <v>14878.363801822348</v>
      </c>
      <c r="O127">
        <f t="shared" si="3"/>
        <v>25998</v>
      </c>
      <c r="P127" t="str">
        <f t="shared" si="4"/>
        <v>03-2024</v>
      </c>
      <c r="Q127" t="str">
        <f t="shared" si="5"/>
        <v>High</v>
      </c>
    </row>
    <row r="128" spans="1:17" x14ac:dyDescent="0.3">
      <c r="A128" t="s">
        <v>163</v>
      </c>
      <c r="B128" s="5">
        <v>45306</v>
      </c>
      <c r="C128" t="s">
        <v>32</v>
      </c>
      <c r="D128" t="s">
        <v>552</v>
      </c>
      <c r="E128" t="s">
        <v>36</v>
      </c>
      <c r="F128" t="s">
        <v>19</v>
      </c>
      <c r="G128" t="s">
        <v>60</v>
      </c>
      <c r="H128">
        <v>1</v>
      </c>
      <c r="I128">
        <v>499.99</v>
      </c>
      <c r="J128">
        <v>5</v>
      </c>
      <c r="K128" s="3">
        <v>499.99</v>
      </c>
      <c r="L128" t="s">
        <v>49</v>
      </c>
      <c r="M128" t="s">
        <v>552</v>
      </c>
      <c r="N128">
        <v>474.9905</v>
      </c>
      <c r="O128">
        <f t="shared" si="3"/>
        <v>499.99</v>
      </c>
      <c r="P128" t="str">
        <f t="shared" si="4"/>
        <v>01-2024</v>
      </c>
      <c r="Q128" t="str">
        <f t="shared" si="5"/>
        <v>Normal</v>
      </c>
    </row>
    <row r="129" spans="1:17" x14ac:dyDescent="0.3">
      <c r="A129" t="s">
        <v>462</v>
      </c>
      <c r="B129" s="5">
        <v>45376</v>
      </c>
      <c r="C129" t="s">
        <v>27</v>
      </c>
      <c r="D129" t="s">
        <v>52</v>
      </c>
      <c r="E129" t="s">
        <v>552</v>
      </c>
      <c r="F129" t="s">
        <v>552</v>
      </c>
      <c r="G129" t="s">
        <v>552</v>
      </c>
      <c r="H129">
        <v>2</v>
      </c>
      <c r="I129">
        <v>25999</v>
      </c>
      <c r="J129">
        <v>10</v>
      </c>
      <c r="K129" s="3">
        <v>30000</v>
      </c>
      <c r="L129" t="s">
        <v>552</v>
      </c>
      <c r="M129" t="s">
        <v>552</v>
      </c>
      <c r="N129">
        <v>13312.220243735786</v>
      </c>
      <c r="O129">
        <f t="shared" si="3"/>
        <v>51998</v>
      </c>
      <c r="P129" t="str">
        <f t="shared" si="4"/>
        <v>03-2024</v>
      </c>
      <c r="Q129" t="str">
        <f t="shared" si="5"/>
        <v>High</v>
      </c>
    </row>
    <row r="130" spans="1:17" x14ac:dyDescent="0.3">
      <c r="A130" t="s">
        <v>165</v>
      </c>
      <c r="C130" t="s">
        <v>27</v>
      </c>
      <c r="D130" t="s">
        <v>13</v>
      </c>
      <c r="E130" t="s">
        <v>24</v>
      </c>
      <c r="F130" t="s">
        <v>552</v>
      </c>
      <c r="G130" t="s">
        <v>15</v>
      </c>
      <c r="H130">
        <v>1</v>
      </c>
      <c r="I130">
        <v>499.99</v>
      </c>
      <c r="J130">
        <v>15</v>
      </c>
      <c r="K130" s="3">
        <v>0</v>
      </c>
      <c r="L130" t="s">
        <v>53</v>
      </c>
      <c r="M130" t="s">
        <v>30</v>
      </c>
      <c r="N130">
        <v>424.99149999999997</v>
      </c>
      <c r="O130">
        <f t="shared" ref="O130:O193" si="6">H130*I130</f>
        <v>499.99</v>
      </c>
      <c r="P130" t="str">
        <f t="shared" ref="P130:P193" si="7">TEXT(B130,"MM-YYYY")</f>
        <v>01-1900</v>
      </c>
      <c r="Q130" t="str">
        <f t="shared" ref="Q130:Q193" si="8">IF(N130&gt;10000,"High","Normal")</f>
        <v>Normal</v>
      </c>
    </row>
    <row r="131" spans="1:17" x14ac:dyDescent="0.3">
      <c r="A131" t="s">
        <v>166</v>
      </c>
      <c r="C131" t="s">
        <v>22</v>
      </c>
      <c r="D131" t="s">
        <v>52</v>
      </c>
      <c r="E131" t="s">
        <v>36</v>
      </c>
      <c r="F131" t="s">
        <v>19</v>
      </c>
      <c r="G131" t="s">
        <v>47</v>
      </c>
      <c r="H131">
        <v>1</v>
      </c>
      <c r="I131">
        <v>7830.7177904328155</v>
      </c>
      <c r="J131">
        <v>10</v>
      </c>
      <c r="K131" s="3">
        <v>0</v>
      </c>
      <c r="L131" t="s">
        <v>39</v>
      </c>
      <c r="M131" t="s">
        <v>30</v>
      </c>
      <c r="N131">
        <v>7047.6460113895337</v>
      </c>
      <c r="O131">
        <f t="shared" si="6"/>
        <v>7830.7177904328155</v>
      </c>
      <c r="P131" t="str">
        <f t="shared" si="7"/>
        <v>01-1900</v>
      </c>
      <c r="Q131" t="str">
        <f t="shared" si="8"/>
        <v>Normal</v>
      </c>
    </row>
    <row r="132" spans="1:17" x14ac:dyDescent="0.3">
      <c r="A132" t="s">
        <v>463</v>
      </c>
      <c r="B132" s="5">
        <v>45376</v>
      </c>
      <c r="C132" t="s">
        <v>32</v>
      </c>
      <c r="D132" t="s">
        <v>552</v>
      </c>
      <c r="E132" t="s">
        <v>552</v>
      </c>
      <c r="F132" t="s">
        <v>552</v>
      </c>
      <c r="G132" t="s">
        <v>60</v>
      </c>
      <c r="H132">
        <v>3</v>
      </c>
      <c r="I132">
        <v>7830.7177904328155</v>
      </c>
      <c r="J132">
        <v>0</v>
      </c>
      <c r="K132" s="3">
        <v>30000</v>
      </c>
      <c r="L132" t="s">
        <v>552</v>
      </c>
      <c r="M132" t="s">
        <v>33</v>
      </c>
      <c r="N132">
        <v>13312.220243735786</v>
      </c>
      <c r="O132">
        <f t="shared" si="6"/>
        <v>23492.153371298446</v>
      </c>
      <c r="P132" t="str">
        <f t="shared" si="7"/>
        <v>03-2024</v>
      </c>
      <c r="Q132" t="str">
        <f t="shared" si="8"/>
        <v>High</v>
      </c>
    </row>
    <row r="133" spans="1:17" x14ac:dyDescent="0.3">
      <c r="A133" t="s">
        <v>469</v>
      </c>
      <c r="B133" s="5">
        <v>45376</v>
      </c>
      <c r="C133" t="s">
        <v>552</v>
      </c>
      <c r="D133" t="s">
        <v>44</v>
      </c>
      <c r="E133" t="s">
        <v>36</v>
      </c>
      <c r="F133" t="s">
        <v>19</v>
      </c>
      <c r="G133" t="s">
        <v>20</v>
      </c>
      <c r="H133">
        <v>3</v>
      </c>
      <c r="I133">
        <v>25999</v>
      </c>
      <c r="J133">
        <v>0</v>
      </c>
      <c r="K133" s="3">
        <v>15000</v>
      </c>
      <c r="L133" t="s">
        <v>552</v>
      </c>
      <c r="M133" t="s">
        <v>552</v>
      </c>
      <c r="N133">
        <v>12999.5</v>
      </c>
      <c r="O133">
        <f t="shared" si="6"/>
        <v>77997</v>
      </c>
      <c r="P133" t="str">
        <f t="shared" si="7"/>
        <v>03-2024</v>
      </c>
      <c r="Q133" t="str">
        <f t="shared" si="8"/>
        <v>High</v>
      </c>
    </row>
    <row r="134" spans="1:17" x14ac:dyDescent="0.3">
      <c r="A134" t="s">
        <v>471</v>
      </c>
      <c r="B134" s="5">
        <v>45376</v>
      </c>
      <c r="C134" t="s">
        <v>22</v>
      </c>
      <c r="D134" t="s">
        <v>52</v>
      </c>
      <c r="E134" t="s">
        <v>552</v>
      </c>
      <c r="F134" t="s">
        <v>552</v>
      </c>
      <c r="G134" t="s">
        <v>552</v>
      </c>
      <c r="H134">
        <v>2</v>
      </c>
      <c r="I134">
        <v>7830.7177904328155</v>
      </c>
      <c r="J134">
        <v>15</v>
      </c>
      <c r="K134" s="3">
        <v>0</v>
      </c>
      <c r="L134" t="s">
        <v>552</v>
      </c>
      <c r="M134" t="s">
        <v>552</v>
      </c>
      <c r="N134">
        <v>12999.5</v>
      </c>
      <c r="O134">
        <f t="shared" si="6"/>
        <v>15661.435580865631</v>
      </c>
      <c r="P134" t="str">
        <f t="shared" si="7"/>
        <v>03-2024</v>
      </c>
      <c r="Q134" t="str">
        <f t="shared" si="8"/>
        <v>High</v>
      </c>
    </row>
    <row r="135" spans="1:17" x14ac:dyDescent="0.3">
      <c r="A135" t="s">
        <v>499</v>
      </c>
      <c r="B135" s="5">
        <v>45376</v>
      </c>
      <c r="C135" t="s">
        <v>27</v>
      </c>
      <c r="D135" t="s">
        <v>44</v>
      </c>
      <c r="E135" t="s">
        <v>24</v>
      </c>
      <c r="F135" t="s">
        <v>19</v>
      </c>
      <c r="G135" t="s">
        <v>20</v>
      </c>
      <c r="H135">
        <v>3</v>
      </c>
      <c r="I135">
        <v>7830.7177904328155</v>
      </c>
      <c r="J135">
        <v>0</v>
      </c>
      <c r="K135" s="3">
        <v>0</v>
      </c>
      <c r="L135" t="s">
        <v>29</v>
      </c>
      <c r="M135" t="s">
        <v>16</v>
      </c>
      <c r="N135">
        <v>12999</v>
      </c>
      <c r="O135">
        <f t="shared" si="6"/>
        <v>23492.153371298446</v>
      </c>
      <c r="P135" t="str">
        <f t="shared" si="7"/>
        <v>03-2024</v>
      </c>
      <c r="Q135" t="str">
        <f t="shared" si="8"/>
        <v>High</v>
      </c>
    </row>
    <row r="136" spans="1:17" x14ac:dyDescent="0.3">
      <c r="A136" t="s">
        <v>171</v>
      </c>
      <c r="B136" s="5">
        <v>45376</v>
      </c>
      <c r="C136" t="s">
        <v>552</v>
      </c>
      <c r="D136" t="s">
        <v>23</v>
      </c>
      <c r="E136" t="s">
        <v>36</v>
      </c>
      <c r="F136" t="s">
        <v>25</v>
      </c>
      <c r="G136" t="s">
        <v>20</v>
      </c>
      <c r="H136">
        <v>3</v>
      </c>
      <c r="I136">
        <v>799.5</v>
      </c>
      <c r="J136">
        <v>0</v>
      </c>
      <c r="K136" s="3">
        <v>15000</v>
      </c>
      <c r="L136" t="s">
        <v>29</v>
      </c>
      <c r="M136" t="s">
        <v>33</v>
      </c>
      <c r="N136">
        <v>2398.5</v>
      </c>
      <c r="O136">
        <f t="shared" si="6"/>
        <v>2398.5</v>
      </c>
      <c r="P136" t="str">
        <f t="shared" si="7"/>
        <v>03-2024</v>
      </c>
      <c r="Q136" t="str">
        <f t="shared" si="8"/>
        <v>Normal</v>
      </c>
    </row>
    <row r="137" spans="1:17" x14ac:dyDescent="0.3">
      <c r="A137" t="s">
        <v>509</v>
      </c>
      <c r="B137" s="5">
        <v>45376</v>
      </c>
      <c r="C137" t="s">
        <v>552</v>
      </c>
      <c r="D137" t="s">
        <v>23</v>
      </c>
      <c r="E137" t="s">
        <v>24</v>
      </c>
      <c r="F137" t="s">
        <v>552</v>
      </c>
      <c r="G137" t="s">
        <v>552</v>
      </c>
      <c r="H137">
        <v>2</v>
      </c>
      <c r="I137">
        <v>7830.7177904328155</v>
      </c>
      <c r="J137">
        <v>0</v>
      </c>
      <c r="K137" s="3">
        <v>30000</v>
      </c>
      <c r="L137" t="s">
        <v>552</v>
      </c>
      <c r="M137" t="s">
        <v>16</v>
      </c>
      <c r="N137">
        <v>12349.05</v>
      </c>
      <c r="O137">
        <f t="shared" si="6"/>
        <v>15661.435580865631</v>
      </c>
      <c r="P137" t="str">
        <f t="shared" si="7"/>
        <v>03-2024</v>
      </c>
      <c r="Q137" t="str">
        <f t="shared" si="8"/>
        <v>High</v>
      </c>
    </row>
    <row r="138" spans="1:17" x14ac:dyDescent="0.3">
      <c r="A138" t="s">
        <v>173</v>
      </c>
      <c r="B138" s="5">
        <v>45376</v>
      </c>
      <c r="C138" t="s">
        <v>552</v>
      </c>
      <c r="D138" t="s">
        <v>23</v>
      </c>
      <c r="E138" t="s">
        <v>552</v>
      </c>
      <c r="F138" t="s">
        <v>19</v>
      </c>
      <c r="G138" t="s">
        <v>552</v>
      </c>
      <c r="H138">
        <v>1</v>
      </c>
      <c r="I138">
        <v>799.5</v>
      </c>
      <c r="J138">
        <v>10</v>
      </c>
      <c r="K138" s="3">
        <v>0</v>
      </c>
      <c r="L138" t="s">
        <v>49</v>
      </c>
      <c r="M138" t="s">
        <v>552</v>
      </c>
      <c r="N138">
        <v>719.55000000000007</v>
      </c>
      <c r="O138">
        <f t="shared" si="6"/>
        <v>799.5</v>
      </c>
      <c r="P138" t="str">
        <f t="shared" si="7"/>
        <v>03-2024</v>
      </c>
      <c r="Q138" t="str">
        <f t="shared" si="8"/>
        <v>Normal</v>
      </c>
    </row>
    <row r="139" spans="1:17" x14ac:dyDescent="0.3">
      <c r="A139" t="s">
        <v>174</v>
      </c>
      <c r="C139" t="s">
        <v>27</v>
      </c>
      <c r="D139" t="s">
        <v>44</v>
      </c>
      <c r="E139" t="s">
        <v>552</v>
      </c>
      <c r="F139" t="s">
        <v>19</v>
      </c>
      <c r="G139" t="s">
        <v>60</v>
      </c>
      <c r="H139">
        <v>1</v>
      </c>
      <c r="I139">
        <v>499.99</v>
      </c>
      <c r="J139">
        <v>50</v>
      </c>
      <c r="K139" s="3">
        <v>0</v>
      </c>
      <c r="L139" t="s">
        <v>29</v>
      </c>
      <c r="M139" t="s">
        <v>37</v>
      </c>
      <c r="N139">
        <v>249.995</v>
      </c>
      <c r="O139">
        <f t="shared" si="6"/>
        <v>499.99</v>
      </c>
      <c r="P139" t="str">
        <f t="shared" si="7"/>
        <v>01-1900</v>
      </c>
      <c r="Q139" t="str">
        <f t="shared" si="8"/>
        <v>Normal</v>
      </c>
    </row>
    <row r="140" spans="1:17" x14ac:dyDescent="0.3">
      <c r="A140" t="s">
        <v>175</v>
      </c>
      <c r="C140" t="s">
        <v>552</v>
      </c>
      <c r="D140" t="s">
        <v>52</v>
      </c>
      <c r="E140" t="s">
        <v>552</v>
      </c>
      <c r="F140" t="s">
        <v>19</v>
      </c>
      <c r="G140" t="s">
        <v>28</v>
      </c>
      <c r="H140">
        <v>1</v>
      </c>
      <c r="I140">
        <v>7830.7177904328155</v>
      </c>
      <c r="J140">
        <v>10</v>
      </c>
      <c r="K140" s="3">
        <v>0</v>
      </c>
      <c r="L140" t="s">
        <v>552</v>
      </c>
      <c r="M140" t="s">
        <v>37</v>
      </c>
      <c r="N140">
        <v>7047.6460113895337</v>
      </c>
      <c r="O140">
        <f t="shared" si="6"/>
        <v>7830.7177904328155</v>
      </c>
      <c r="P140" t="str">
        <f t="shared" si="7"/>
        <v>01-1900</v>
      </c>
      <c r="Q140" t="str">
        <f t="shared" si="8"/>
        <v>Normal</v>
      </c>
    </row>
    <row r="141" spans="1:17" x14ac:dyDescent="0.3">
      <c r="A141" t="s">
        <v>176</v>
      </c>
      <c r="C141" t="s">
        <v>27</v>
      </c>
      <c r="D141" t="s">
        <v>44</v>
      </c>
      <c r="E141" t="s">
        <v>552</v>
      </c>
      <c r="F141" t="s">
        <v>14</v>
      </c>
      <c r="G141" t="s">
        <v>28</v>
      </c>
      <c r="H141">
        <v>1</v>
      </c>
      <c r="I141">
        <v>7830.7177904328155</v>
      </c>
      <c r="J141">
        <v>15</v>
      </c>
      <c r="K141" s="3">
        <v>0</v>
      </c>
      <c r="L141" t="s">
        <v>552</v>
      </c>
      <c r="M141" t="s">
        <v>552</v>
      </c>
      <c r="N141">
        <v>6656.1101218678932</v>
      </c>
      <c r="O141">
        <f t="shared" si="6"/>
        <v>7830.7177904328155</v>
      </c>
      <c r="P141" t="str">
        <f t="shared" si="7"/>
        <v>01-1900</v>
      </c>
      <c r="Q141" t="str">
        <f t="shared" si="8"/>
        <v>Normal</v>
      </c>
    </row>
    <row r="142" spans="1:17" x14ac:dyDescent="0.3">
      <c r="A142" t="s">
        <v>177</v>
      </c>
      <c r="B142" s="5">
        <v>45306</v>
      </c>
      <c r="C142" t="s">
        <v>552</v>
      </c>
      <c r="D142" t="s">
        <v>552</v>
      </c>
      <c r="E142" t="s">
        <v>552</v>
      </c>
      <c r="F142" t="s">
        <v>19</v>
      </c>
      <c r="G142" t="s">
        <v>15</v>
      </c>
      <c r="H142">
        <v>4</v>
      </c>
      <c r="I142">
        <v>799.5</v>
      </c>
      <c r="J142">
        <v>0</v>
      </c>
      <c r="K142" s="3">
        <v>0</v>
      </c>
      <c r="L142" t="s">
        <v>53</v>
      </c>
      <c r="M142" t="s">
        <v>37</v>
      </c>
      <c r="N142">
        <v>3198</v>
      </c>
      <c r="O142">
        <f t="shared" si="6"/>
        <v>3198</v>
      </c>
      <c r="P142" t="str">
        <f t="shared" si="7"/>
        <v>01-2024</v>
      </c>
      <c r="Q142" t="str">
        <f t="shared" si="8"/>
        <v>Normal</v>
      </c>
    </row>
    <row r="143" spans="1:17" x14ac:dyDescent="0.3">
      <c r="A143" t="s">
        <v>178</v>
      </c>
      <c r="C143" t="s">
        <v>552</v>
      </c>
      <c r="D143" t="s">
        <v>552</v>
      </c>
      <c r="E143" t="s">
        <v>552</v>
      </c>
      <c r="F143" t="s">
        <v>552</v>
      </c>
      <c r="G143" t="s">
        <v>552</v>
      </c>
      <c r="H143">
        <v>1</v>
      </c>
      <c r="I143">
        <v>499.99</v>
      </c>
      <c r="J143">
        <v>50</v>
      </c>
      <c r="K143" s="3">
        <v>0</v>
      </c>
      <c r="L143" t="s">
        <v>29</v>
      </c>
      <c r="M143" t="s">
        <v>30</v>
      </c>
      <c r="N143">
        <v>249.995</v>
      </c>
      <c r="O143">
        <f t="shared" si="6"/>
        <v>499.99</v>
      </c>
      <c r="P143" t="str">
        <f t="shared" si="7"/>
        <v>01-1900</v>
      </c>
      <c r="Q143" t="str">
        <f t="shared" si="8"/>
        <v>Normal</v>
      </c>
    </row>
    <row r="144" spans="1:17" x14ac:dyDescent="0.3">
      <c r="A144" t="s">
        <v>179</v>
      </c>
      <c r="B144" s="5">
        <v>45337</v>
      </c>
      <c r="C144" t="s">
        <v>552</v>
      </c>
      <c r="D144" t="s">
        <v>552</v>
      </c>
      <c r="E144" t="s">
        <v>24</v>
      </c>
      <c r="F144" t="s">
        <v>14</v>
      </c>
      <c r="G144" t="s">
        <v>60</v>
      </c>
      <c r="H144">
        <v>3</v>
      </c>
      <c r="I144">
        <v>499.99</v>
      </c>
      <c r="J144">
        <v>0</v>
      </c>
      <c r="K144" s="3">
        <v>499.99</v>
      </c>
      <c r="L144" t="s">
        <v>552</v>
      </c>
      <c r="M144" t="s">
        <v>30</v>
      </c>
      <c r="N144">
        <v>1499.97</v>
      </c>
      <c r="O144">
        <f t="shared" si="6"/>
        <v>1499.97</v>
      </c>
      <c r="P144" t="str">
        <f t="shared" si="7"/>
        <v>02-2024</v>
      </c>
      <c r="Q144" t="str">
        <f t="shared" si="8"/>
        <v>Normal</v>
      </c>
    </row>
    <row r="145" spans="1:17" x14ac:dyDescent="0.3">
      <c r="A145" t="s">
        <v>525</v>
      </c>
      <c r="B145" s="5">
        <v>45376</v>
      </c>
      <c r="C145" t="s">
        <v>552</v>
      </c>
      <c r="D145" t="s">
        <v>552</v>
      </c>
      <c r="E145" t="s">
        <v>552</v>
      </c>
      <c r="F145" t="s">
        <v>14</v>
      </c>
      <c r="G145" t="s">
        <v>20</v>
      </c>
      <c r="H145">
        <v>3</v>
      </c>
      <c r="I145">
        <v>7830.7177904328155</v>
      </c>
      <c r="J145">
        <v>50</v>
      </c>
      <c r="K145" s="3">
        <v>0</v>
      </c>
      <c r="L145" t="s">
        <v>552</v>
      </c>
      <c r="M145" t="s">
        <v>33</v>
      </c>
      <c r="N145">
        <v>11699.1</v>
      </c>
      <c r="O145">
        <f t="shared" si="6"/>
        <v>23492.153371298446</v>
      </c>
      <c r="P145" t="str">
        <f t="shared" si="7"/>
        <v>03-2024</v>
      </c>
      <c r="Q145" t="str">
        <f t="shared" si="8"/>
        <v>High</v>
      </c>
    </row>
    <row r="146" spans="1:17" x14ac:dyDescent="0.3">
      <c r="A146" t="s">
        <v>536</v>
      </c>
      <c r="B146" s="5">
        <v>45376</v>
      </c>
      <c r="C146" t="s">
        <v>22</v>
      </c>
      <c r="D146" t="s">
        <v>44</v>
      </c>
      <c r="E146" t="s">
        <v>552</v>
      </c>
      <c r="F146" t="s">
        <v>14</v>
      </c>
      <c r="G146" t="s">
        <v>60</v>
      </c>
      <c r="H146">
        <v>4</v>
      </c>
      <c r="I146">
        <v>25999</v>
      </c>
      <c r="J146">
        <v>0</v>
      </c>
      <c r="K146" s="3">
        <v>-500</v>
      </c>
      <c r="L146" t="s">
        <v>39</v>
      </c>
      <c r="M146" t="s">
        <v>30</v>
      </c>
      <c r="N146">
        <v>11049.15</v>
      </c>
      <c r="O146">
        <f t="shared" si="6"/>
        <v>103996</v>
      </c>
      <c r="P146" t="str">
        <f t="shared" si="7"/>
        <v>03-2024</v>
      </c>
      <c r="Q146" t="str">
        <f t="shared" si="8"/>
        <v>High</v>
      </c>
    </row>
    <row r="147" spans="1:17" x14ac:dyDescent="0.3">
      <c r="A147" t="s">
        <v>182</v>
      </c>
      <c r="C147" t="s">
        <v>32</v>
      </c>
      <c r="D147" t="s">
        <v>13</v>
      </c>
      <c r="E147" t="s">
        <v>552</v>
      </c>
      <c r="F147" t="s">
        <v>552</v>
      </c>
      <c r="G147" t="s">
        <v>28</v>
      </c>
      <c r="H147">
        <v>4</v>
      </c>
      <c r="I147">
        <v>499.99</v>
      </c>
      <c r="J147">
        <v>5</v>
      </c>
      <c r="K147" s="3">
        <v>499.99</v>
      </c>
      <c r="L147" t="s">
        <v>39</v>
      </c>
      <c r="M147" t="s">
        <v>37</v>
      </c>
      <c r="N147">
        <v>1899.962</v>
      </c>
      <c r="O147">
        <f t="shared" si="6"/>
        <v>1999.96</v>
      </c>
      <c r="P147" t="str">
        <f t="shared" si="7"/>
        <v>01-1900</v>
      </c>
      <c r="Q147" t="str">
        <f t="shared" si="8"/>
        <v>Normal</v>
      </c>
    </row>
    <row r="148" spans="1:17" x14ac:dyDescent="0.3">
      <c r="A148" t="s">
        <v>183</v>
      </c>
      <c r="C148" t="s">
        <v>552</v>
      </c>
      <c r="D148" t="s">
        <v>52</v>
      </c>
      <c r="E148" t="s">
        <v>18</v>
      </c>
      <c r="F148" t="s">
        <v>14</v>
      </c>
      <c r="G148" t="s">
        <v>47</v>
      </c>
      <c r="H148">
        <v>2</v>
      </c>
      <c r="I148">
        <v>499.99</v>
      </c>
      <c r="J148">
        <v>5</v>
      </c>
      <c r="K148" s="3">
        <v>0</v>
      </c>
      <c r="L148" t="s">
        <v>29</v>
      </c>
      <c r="M148" t="s">
        <v>30</v>
      </c>
      <c r="N148">
        <v>949.98099999999999</v>
      </c>
      <c r="O148">
        <f t="shared" si="6"/>
        <v>999.98</v>
      </c>
      <c r="P148" t="str">
        <f t="shared" si="7"/>
        <v>01-1900</v>
      </c>
      <c r="Q148" t="str">
        <f t="shared" si="8"/>
        <v>Normal</v>
      </c>
    </row>
    <row r="149" spans="1:17" x14ac:dyDescent="0.3">
      <c r="A149" t="s">
        <v>184</v>
      </c>
      <c r="C149" t="s">
        <v>32</v>
      </c>
      <c r="D149" t="s">
        <v>52</v>
      </c>
      <c r="E149" t="s">
        <v>552</v>
      </c>
      <c r="F149" t="s">
        <v>25</v>
      </c>
      <c r="G149" t="s">
        <v>552</v>
      </c>
      <c r="H149">
        <v>1</v>
      </c>
      <c r="I149">
        <v>12999</v>
      </c>
      <c r="J149">
        <v>50</v>
      </c>
      <c r="K149" s="3">
        <v>0</v>
      </c>
      <c r="L149" t="s">
        <v>53</v>
      </c>
      <c r="M149" t="s">
        <v>552</v>
      </c>
      <c r="N149">
        <v>6499.5</v>
      </c>
      <c r="O149">
        <f t="shared" si="6"/>
        <v>12999</v>
      </c>
      <c r="P149" t="str">
        <f t="shared" si="7"/>
        <v>01-1900</v>
      </c>
      <c r="Q149" t="str">
        <f t="shared" si="8"/>
        <v>Normal</v>
      </c>
    </row>
    <row r="150" spans="1:17" x14ac:dyDescent="0.3">
      <c r="A150" t="s">
        <v>185</v>
      </c>
      <c r="B150" s="5">
        <v>45376</v>
      </c>
      <c r="C150" t="s">
        <v>12</v>
      </c>
      <c r="D150" t="s">
        <v>44</v>
      </c>
      <c r="E150" t="s">
        <v>552</v>
      </c>
      <c r="F150" t="s">
        <v>552</v>
      </c>
      <c r="G150" t="s">
        <v>28</v>
      </c>
      <c r="H150">
        <v>3</v>
      </c>
      <c r="I150">
        <v>499.99</v>
      </c>
      <c r="J150">
        <v>0</v>
      </c>
      <c r="K150" s="3">
        <v>0</v>
      </c>
      <c r="L150" t="s">
        <v>39</v>
      </c>
      <c r="M150" t="s">
        <v>552</v>
      </c>
      <c r="N150">
        <v>1499.97</v>
      </c>
      <c r="O150">
        <f t="shared" si="6"/>
        <v>1499.97</v>
      </c>
      <c r="P150" t="str">
        <f t="shared" si="7"/>
        <v>03-2024</v>
      </c>
      <c r="Q150" t="str">
        <f t="shared" si="8"/>
        <v>Normal</v>
      </c>
    </row>
    <row r="151" spans="1:17" x14ac:dyDescent="0.3">
      <c r="A151" t="s">
        <v>17</v>
      </c>
      <c r="B151" s="5">
        <v>45337</v>
      </c>
      <c r="C151" t="s">
        <v>552</v>
      </c>
      <c r="D151" t="s">
        <v>44</v>
      </c>
      <c r="E151" t="s">
        <v>18</v>
      </c>
      <c r="F151" t="s">
        <v>19</v>
      </c>
      <c r="G151" t="s">
        <v>20</v>
      </c>
      <c r="H151">
        <v>1</v>
      </c>
      <c r="I151">
        <v>25999</v>
      </c>
      <c r="J151">
        <v>0</v>
      </c>
      <c r="K151" s="3">
        <v>499.99</v>
      </c>
      <c r="L151" t="s">
        <v>552</v>
      </c>
      <c r="M151" t="s">
        <v>16</v>
      </c>
      <c r="N151">
        <v>103996</v>
      </c>
      <c r="O151">
        <f t="shared" si="6"/>
        <v>25999</v>
      </c>
      <c r="P151" t="str">
        <f t="shared" si="7"/>
        <v>02-2024</v>
      </c>
      <c r="Q151" t="str">
        <f t="shared" si="8"/>
        <v>High</v>
      </c>
    </row>
    <row r="152" spans="1:17" x14ac:dyDescent="0.3">
      <c r="A152" t="s">
        <v>187</v>
      </c>
      <c r="B152" s="5">
        <v>45337</v>
      </c>
      <c r="C152" t="s">
        <v>22</v>
      </c>
      <c r="D152" t="s">
        <v>52</v>
      </c>
      <c r="E152" t="s">
        <v>36</v>
      </c>
      <c r="F152" t="s">
        <v>14</v>
      </c>
      <c r="G152" t="s">
        <v>28</v>
      </c>
      <c r="H152">
        <v>3</v>
      </c>
      <c r="I152">
        <v>499.99</v>
      </c>
      <c r="J152">
        <v>5</v>
      </c>
      <c r="K152" s="3">
        <v>15000</v>
      </c>
      <c r="L152" t="s">
        <v>39</v>
      </c>
      <c r="M152" t="s">
        <v>16</v>
      </c>
      <c r="N152">
        <v>1424.9714999999999</v>
      </c>
      <c r="O152">
        <f t="shared" si="6"/>
        <v>1499.97</v>
      </c>
      <c r="P152" t="str">
        <f t="shared" si="7"/>
        <v>02-2024</v>
      </c>
      <c r="Q152" t="str">
        <f t="shared" si="8"/>
        <v>Normal</v>
      </c>
    </row>
    <row r="153" spans="1:17" x14ac:dyDescent="0.3">
      <c r="A153" t="s">
        <v>188</v>
      </c>
      <c r="B153" s="5">
        <v>45376</v>
      </c>
      <c r="C153" t="s">
        <v>552</v>
      </c>
      <c r="D153" t="s">
        <v>52</v>
      </c>
      <c r="E153" t="s">
        <v>36</v>
      </c>
      <c r="F153" t="s">
        <v>25</v>
      </c>
      <c r="G153" t="s">
        <v>552</v>
      </c>
      <c r="H153">
        <v>1</v>
      </c>
      <c r="I153">
        <v>25999</v>
      </c>
      <c r="J153">
        <v>15</v>
      </c>
      <c r="K153" s="3">
        <v>499.99</v>
      </c>
      <c r="L153" t="s">
        <v>53</v>
      </c>
      <c r="M153" t="s">
        <v>37</v>
      </c>
      <c r="N153">
        <v>22099.149999999998</v>
      </c>
      <c r="O153">
        <f t="shared" si="6"/>
        <v>25999</v>
      </c>
      <c r="P153" t="str">
        <f t="shared" si="7"/>
        <v>03-2024</v>
      </c>
      <c r="Q153" t="str">
        <f t="shared" si="8"/>
        <v>High</v>
      </c>
    </row>
    <row r="154" spans="1:17" x14ac:dyDescent="0.3">
      <c r="A154" t="s">
        <v>42</v>
      </c>
      <c r="B154" s="5">
        <v>45337</v>
      </c>
      <c r="C154" t="s">
        <v>12</v>
      </c>
      <c r="D154" t="s">
        <v>44</v>
      </c>
      <c r="E154" t="s">
        <v>552</v>
      </c>
      <c r="F154" t="s">
        <v>552</v>
      </c>
      <c r="G154" t="s">
        <v>552</v>
      </c>
      <c r="H154">
        <v>1</v>
      </c>
      <c r="I154">
        <v>12999</v>
      </c>
      <c r="J154">
        <v>10</v>
      </c>
      <c r="K154" s="3">
        <v>15000</v>
      </c>
      <c r="L154" t="s">
        <v>552</v>
      </c>
      <c r="M154" t="s">
        <v>33</v>
      </c>
      <c r="N154">
        <v>103996</v>
      </c>
      <c r="O154">
        <f t="shared" si="6"/>
        <v>12999</v>
      </c>
      <c r="P154" t="str">
        <f t="shared" si="7"/>
        <v>02-2024</v>
      </c>
      <c r="Q154" t="str">
        <f t="shared" si="8"/>
        <v>High</v>
      </c>
    </row>
    <row r="155" spans="1:17" x14ac:dyDescent="0.3">
      <c r="A155" t="s">
        <v>55</v>
      </c>
      <c r="B155" s="5">
        <v>45337</v>
      </c>
      <c r="C155" t="s">
        <v>552</v>
      </c>
      <c r="D155" t="s">
        <v>552</v>
      </c>
      <c r="E155" t="s">
        <v>552</v>
      </c>
      <c r="F155" t="s">
        <v>19</v>
      </c>
      <c r="G155" t="s">
        <v>552</v>
      </c>
      <c r="H155">
        <v>4</v>
      </c>
      <c r="I155">
        <v>7830.7177904328155</v>
      </c>
      <c r="J155">
        <v>5</v>
      </c>
      <c r="K155" s="3">
        <v>499.99</v>
      </c>
      <c r="L155" t="s">
        <v>552</v>
      </c>
      <c r="M155" t="s">
        <v>552</v>
      </c>
      <c r="N155">
        <v>103996</v>
      </c>
      <c r="O155">
        <f t="shared" si="6"/>
        <v>31322.871161731262</v>
      </c>
      <c r="P155" t="str">
        <f t="shared" si="7"/>
        <v>02-2024</v>
      </c>
      <c r="Q155" t="str">
        <f t="shared" si="8"/>
        <v>High</v>
      </c>
    </row>
    <row r="156" spans="1:17" x14ac:dyDescent="0.3">
      <c r="A156" t="s">
        <v>71</v>
      </c>
      <c r="B156" s="5">
        <v>45337</v>
      </c>
      <c r="C156" t="s">
        <v>552</v>
      </c>
      <c r="D156" t="s">
        <v>13</v>
      </c>
      <c r="E156" t="s">
        <v>24</v>
      </c>
      <c r="F156" t="s">
        <v>14</v>
      </c>
      <c r="G156" t="s">
        <v>15</v>
      </c>
      <c r="H156">
        <v>1</v>
      </c>
      <c r="I156">
        <v>12999</v>
      </c>
      <c r="J156">
        <v>0</v>
      </c>
      <c r="K156" s="3">
        <v>499.99</v>
      </c>
      <c r="L156" t="s">
        <v>49</v>
      </c>
      <c r="M156" t="s">
        <v>30</v>
      </c>
      <c r="N156">
        <v>77997</v>
      </c>
      <c r="O156">
        <f t="shared" si="6"/>
        <v>12999</v>
      </c>
      <c r="P156" t="str">
        <f t="shared" si="7"/>
        <v>02-2024</v>
      </c>
      <c r="Q156" t="str">
        <f t="shared" si="8"/>
        <v>High</v>
      </c>
    </row>
    <row r="157" spans="1:17" x14ac:dyDescent="0.3">
      <c r="A157" t="s">
        <v>192</v>
      </c>
      <c r="C157" t="s">
        <v>27</v>
      </c>
      <c r="D157" t="s">
        <v>52</v>
      </c>
      <c r="E157" t="s">
        <v>552</v>
      </c>
      <c r="F157" t="s">
        <v>552</v>
      </c>
      <c r="G157" t="s">
        <v>47</v>
      </c>
      <c r="H157">
        <v>3</v>
      </c>
      <c r="I157">
        <v>799.5</v>
      </c>
      <c r="J157">
        <v>0</v>
      </c>
      <c r="K157" s="3">
        <v>0</v>
      </c>
      <c r="L157" t="s">
        <v>552</v>
      </c>
      <c r="M157" t="s">
        <v>37</v>
      </c>
      <c r="N157">
        <v>2398.5</v>
      </c>
      <c r="O157">
        <f t="shared" si="6"/>
        <v>2398.5</v>
      </c>
      <c r="P157" t="str">
        <f t="shared" si="7"/>
        <v>01-1900</v>
      </c>
      <c r="Q157" t="str">
        <f t="shared" si="8"/>
        <v>Normal</v>
      </c>
    </row>
    <row r="158" spans="1:17" x14ac:dyDescent="0.3">
      <c r="A158" t="s">
        <v>107</v>
      </c>
      <c r="B158" s="5">
        <v>45337</v>
      </c>
      <c r="C158" t="s">
        <v>27</v>
      </c>
      <c r="D158" t="s">
        <v>23</v>
      </c>
      <c r="E158" t="s">
        <v>18</v>
      </c>
      <c r="F158" t="s">
        <v>19</v>
      </c>
      <c r="G158" t="s">
        <v>552</v>
      </c>
      <c r="H158">
        <v>2</v>
      </c>
      <c r="I158">
        <v>7830.7177904328155</v>
      </c>
      <c r="J158">
        <v>15</v>
      </c>
      <c r="K158" s="3">
        <v>499.99</v>
      </c>
      <c r="L158" t="s">
        <v>39</v>
      </c>
      <c r="M158" t="s">
        <v>16</v>
      </c>
      <c r="N158">
        <v>51998</v>
      </c>
      <c r="O158">
        <f t="shared" si="6"/>
        <v>15661.435580865631</v>
      </c>
      <c r="P158" t="str">
        <f t="shared" si="7"/>
        <v>02-2024</v>
      </c>
      <c r="Q158" t="str">
        <f t="shared" si="8"/>
        <v>High</v>
      </c>
    </row>
    <row r="159" spans="1:17" x14ac:dyDescent="0.3">
      <c r="A159" t="s">
        <v>194</v>
      </c>
      <c r="B159" s="5">
        <v>45337</v>
      </c>
      <c r="C159" t="s">
        <v>32</v>
      </c>
      <c r="D159" t="s">
        <v>52</v>
      </c>
      <c r="E159" t="s">
        <v>18</v>
      </c>
      <c r="F159" t="s">
        <v>25</v>
      </c>
      <c r="G159" t="s">
        <v>552</v>
      </c>
      <c r="H159">
        <v>2</v>
      </c>
      <c r="I159">
        <v>499.99</v>
      </c>
      <c r="J159">
        <v>15</v>
      </c>
      <c r="K159" s="3">
        <v>-500</v>
      </c>
      <c r="L159" t="s">
        <v>53</v>
      </c>
      <c r="M159" t="s">
        <v>552</v>
      </c>
      <c r="N159">
        <v>849.98299999999995</v>
      </c>
      <c r="O159">
        <f t="shared" si="6"/>
        <v>999.98</v>
      </c>
      <c r="P159" t="str">
        <f t="shared" si="7"/>
        <v>02-2024</v>
      </c>
      <c r="Q159" t="str">
        <f t="shared" si="8"/>
        <v>Normal</v>
      </c>
    </row>
    <row r="160" spans="1:17" x14ac:dyDescent="0.3">
      <c r="A160" t="s">
        <v>195</v>
      </c>
      <c r="B160" s="5">
        <v>45306</v>
      </c>
      <c r="C160" t="s">
        <v>27</v>
      </c>
      <c r="D160" t="s">
        <v>44</v>
      </c>
      <c r="E160" t="s">
        <v>552</v>
      </c>
      <c r="F160" t="s">
        <v>19</v>
      </c>
      <c r="G160" t="s">
        <v>20</v>
      </c>
      <c r="H160">
        <v>1</v>
      </c>
      <c r="I160">
        <v>7830.7177904328155</v>
      </c>
      <c r="J160">
        <v>15</v>
      </c>
      <c r="K160" s="3">
        <v>0</v>
      </c>
      <c r="L160" t="s">
        <v>552</v>
      </c>
      <c r="M160" t="s">
        <v>552</v>
      </c>
      <c r="N160">
        <v>6656.1101218678932</v>
      </c>
      <c r="O160">
        <f t="shared" si="6"/>
        <v>7830.7177904328155</v>
      </c>
      <c r="P160" t="str">
        <f t="shared" si="7"/>
        <v>01-2024</v>
      </c>
      <c r="Q160" t="str">
        <f t="shared" si="8"/>
        <v>Normal</v>
      </c>
    </row>
    <row r="161" spans="1:17" x14ac:dyDescent="0.3">
      <c r="A161" t="s">
        <v>140</v>
      </c>
      <c r="B161" s="5">
        <v>45337</v>
      </c>
      <c r="C161" t="s">
        <v>27</v>
      </c>
      <c r="D161" t="s">
        <v>44</v>
      </c>
      <c r="E161" t="s">
        <v>552</v>
      </c>
      <c r="F161" t="s">
        <v>19</v>
      </c>
      <c r="G161" t="s">
        <v>552</v>
      </c>
      <c r="H161">
        <v>1</v>
      </c>
      <c r="I161">
        <v>12999</v>
      </c>
      <c r="J161">
        <v>15</v>
      </c>
      <c r="K161" s="3">
        <v>499.99</v>
      </c>
      <c r="L161" t="s">
        <v>53</v>
      </c>
      <c r="M161" t="s">
        <v>552</v>
      </c>
      <c r="N161">
        <v>44196.6</v>
      </c>
      <c r="O161">
        <f t="shared" si="6"/>
        <v>12999</v>
      </c>
      <c r="P161" t="str">
        <f t="shared" si="7"/>
        <v>02-2024</v>
      </c>
      <c r="Q161" t="str">
        <f t="shared" si="8"/>
        <v>High</v>
      </c>
    </row>
    <row r="162" spans="1:17" x14ac:dyDescent="0.3">
      <c r="A162" t="s">
        <v>197</v>
      </c>
      <c r="B162" s="5">
        <v>45376</v>
      </c>
      <c r="C162" t="s">
        <v>552</v>
      </c>
      <c r="D162" t="s">
        <v>552</v>
      </c>
      <c r="E162" t="s">
        <v>18</v>
      </c>
      <c r="F162" t="s">
        <v>14</v>
      </c>
      <c r="G162" t="s">
        <v>47</v>
      </c>
      <c r="H162">
        <v>4</v>
      </c>
      <c r="I162">
        <v>799.5</v>
      </c>
      <c r="J162">
        <v>0</v>
      </c>
      <c r="K162" s="3">
        <v>30000</v>
      </c>
      <c r="L162" t="s">
        <v>29</v>
      </c>
      <c r="M162" t="s">
        <v>16</v>
      </c>
      <c r="N162">
        <v>3198</v>
      </c>
      <c r="O162">
        <f t="shared" si="6"/>
        <v>3198</v>
      </c>
      <c r="P162" t="str">
        <f t="shared" si="7"/>
        <v>03-2024</v>
      </c>
      <c r="Q162" t="str">
        <f t="shared" si="8"/>
        <v>Normal</v>
      </c>
    </row>
    <row r="163" spans="1:17" x14ac:dyDescent="0.3">
      <c r="A163" t="s">
        <v>198</v>
      </c>
      <c r="B163" s="5">
        <v>45337</v>
      </c>
      <c r="C163" t="s">
        <v>27</v>
      </c>
      <c r="D163" t="s">
        <v>13</v>
      </c>
      <c r="E163" t="s">
        <v>552</v>
      </c>
      <c r="F163" t="s">
        <v>19</v>
      </c>
      <c r="G163" t="s">
        <v>20</v>
      </c>
      <c r="H163">
        <v>4</v>
      </c>
      <c r="I163">
        <v>799.5</v>
      </c>
      <c r="J163">
        <v>10</v>
      </c>
      <c r="K163" s="3">
        <v>0</v>
      </c>
      <c r="L163" t="s">
        <v>53</v>
      </c>
      <c r="M163" t="s">
        <v>552</v>
      </c>
      <c r="N163">
        <v>2878.2000000000003</v>
      </c>
      <c r="O163">
        <f t="shared" si="6"/>
        <v>3198</v>
      </c>
      <c r="P163" t="str">
        <f t="shared" si="7"/>
        <v>02-2024</v>
      </c>
      <c r="Q163" t="str">
        <f t="shared" si="8"/>
        <v>Normal</v>
      </c>
    </row>
    <row r="164" spans="1:17" x14ac:dyDescent="0.3">
      <c r="A164" t="s">
        <v>199</v>
      </c>
      <c r="C164" t="s">
        <v>552</v>
      </c>
      <c r="D164" t="s">
        <v>52</v>
      </c>
      <c r="E164" t="s">
        <v>552</v>
      </c>
      <c r="F164" t="s">
        <v>25</v>
      </c>
      <c r="G164" t="s">
        <v>20</v>
      </c>
      <c r="H164">
        <v>1</v>
      </c>
      <c r="I164">
        <v>7830.7177904328155</v>
      </c>
      <c r="J164">
        <v>0</v>
      </c>
      <c r="K164" s="3">
        <v>0</v>
      </c>
      <c r="L164" t="s">
        <v>29</v>
      </c>
      <c r="M164" t="s">
        <v>16</v>
      </c>
      <c r="N164">
        <v>7830.7177904328155</v>
      </c>
      <c r="O164">
        <f t="shared" si="6"/>
        <v>7830.7177904328155</v>
      </c>
      <c r="P164" t="str">
        <f t="shared" si="7"/>
        <v>01-1900</v>
      </c>
      <c r="Q164" t="str">
        <f t="shared" si="8"/>
        <v>Normal</v>
      </c>
    </row>
    <row r="165" spans="1:17" x14ac:dyDescent="0.3">
      <c r="A165" t="s">
        <v>200</v>
      </c>
      <c r="B165" s="5">
        <v>45376</v>
      </c>
      <c r="C165" t="s">
        <v>552</v>
      </c>
      <c r="D165" t="s">
        <v>552</v>
      </c>
      <c r="E165" t="s">
        <v>552</v>
      </c>
      <c r="F165" t="s">
        <v>552</v>
      </c>
      <c r="G165" t="s">
        <v>552</v>
      </c>
      <c r="H165">
        <v>1</v>
      </c>
      <c r="I165">
        <v>499.99</v>
      </c>
      <c r="J165">
        <v>10</v>
      </c>
      <c r="K165" s="3">
        <v>0</v>
      </c>
      <c r="L165" t="s">
        <v>49</v>
      </c>
      <c r="M165" t="s">
        <v>30</v>
      </c>
      <c r="N165">
        <v>449.99100000000004</v>
      </c>
      <c r="O165">
        <f t="shared" si="6"/>
        <v>499.99</v>
      </c>
      <c r="P165" t="str">
        <f t="shared" si="7"/>
        <v>03-2024</v>
      </c>
      <c r="Q165" t="str">
        <f t="shared" si="8"/>
        <v>Normal</v>
      </c>
    </row>
    <row r="166" spans="1:17" x14ac:dyDescent="0.3">
      <c r="A166" t="s">
        <v>201</v>
      </c>
      <c r="C166" t="s">
        <v>552</v>
      </c>
      <c r="D166" t="s">
        <v>44</v>
      </c>
      <c r="E166" t="s">
        <v>18</v>
      </c>
      <c r="F166" t="s">
        <v>552</v>
      </c>
      <c r="G166" t="s">
        <v>20</v>
      </c>
      <c r="H166">
        <v>1</v>
      </c>
      <c r="I166">
        <v>799.5</v>
      </c>
      <c r="J166">
        <v>10</v>
      </c>
      <c r="K166" s="3">
        <v>0</v>
      </c>
      <c r="L166" t="s">
        <v>49</v>
      </c>
      <c r="M166" t="s">
        <v>30</v>
      </c>
      <c r="N166">
        <v>719.55000000000007</v>
      </c>
      <c r="O166">
        <f t="shared" si="6"/>
        <v>799.5</v>
      </c>
      <c r="P166" t="str">
        <f t="shared" si="7"/>
        <v>01-1900</v>
      </c>
      <c r="Q166" t="str">
        <f t="shared" si="8"/>
        <v>Normal</v>
      </c>
    </row>
    <row r="167" spans="1:17" x14ac:dyDescent="0.3">
      <c r="A167" t="s">
        <v>202</v>
      </c>
      <c r="C167" t="s">
        <v>12</v>
      </c>
      <c r="D167" t="s">
        <v>23</v>
      </c>
      <c r="E167" t="s">
        <v>24</v>
      </c>
      <c r="F167" t="s">
        <v>552</v>
      </c>
      <c r="G167" t="s">
        <v>15</v>
      </c>
      <c r="H167">
        <v>4</v>
      </c>
      <c r="I167">
        <v>799.5</v>
      </c>
      <c r="J167">
        <v>10</v>
      </c>
      <c r="K167" s="3">
        <v>0</v>
      </c>
      <c r="L167" t="s">
        <v>29</v>
      </c>
      <c r="M167" t="s">
        <v>33</v>
      </c>
      <c r="N167">
        <v>2878.2000000000003</v>
      </c>
      <c r="O167">
        <f t="shared" si="6"/>
        <v>3198</v>
      </c>
      <c r="P167" t="str">
        <f t="shared" si="7"/>
        <v>01-1900</v>
      </c>
      <c r="Q167" t="str">
        <f t="shared" si="8"/>
        <v>Normal</v>
      </c>
    </row>
    <row r="168" spans="1:17" x14ac:dyDescent="0.3">
      <c r="A168" t="s">
        <v>154</v>
      </c>
      <c r="B168" s="5">
        <v>45337</v>
      </c>
      <c r="C168" t="s">
        <v>552</v>
      </c>
      <c r="D168" t="s">
        <v>23</v>
      </c>
      <c r="E168" t="s">
        <v>36</v>
      </c>
      <c r="F168" t="s">
        <v>19</v>
      </c>
      <c r="G168" t="s">
        <v>15</v>
      </c>
      <c r="H168">
        <v>1</v>
      </c>
      <c r="I168">
        <v>25999</v>
      </c>
      <c r="J168">
        <v>10</v>
      </c>
      <c r="K168" s="3">
        <v>499.99</v>
      </c>
      <c r="L168" t="s">
        <v>49</v>
      </c>
      <c r="M168" t="s">
        <v>16</v>
      </c>
      <c r="N168">
        <v>38998.5</v>
      </c>
      <c r="O168">
        <f t="shared" si="6"/>
        <v>25999</v>
      </c>
      <c r="P168" t="str">
        <f t="shared" si="7"/>
        <v>02-2024</v>
      </c>
      <c r="Q168" t="str">
        <f t="shared" si="8"/>
        <v>High</v>
      </c>
    </row>
    <row r="169" spans="1:17" x14ac:dyDescent="0.3">
      <c r="A169" t="s">
        <v>204</v>
      </c>
      <c r="B169" s="5">
        <v>45376</v>
      </c>
      <c r="C169" t="s">
        <v>552</v>
      </c>
      <c r="D169" t="s">
        <v>52</v>
      </c>
      <c r="E169" t="s">
        <v>18</v>
      </c>
      <c r="F169" t="s">
        <v>552</v>
      </c>
      <c r="G169" t="s">
        <v>552</v>
      </c>
      <c r="H169">
        <v>1</v>
      </c>
      <c r="I169">
        <v>7830.7177904328155</v>
      </c>
      <c r="J169">
        <v>15</v>
      </c>
      <c r="K169" s="3">
        <v>0</v>
      </c>
      <c r="L169" t="s">
        <v>39</v>
      </c>
      <c r="M169" t="s">
        <v>16</v>
      </c>
      <c r="N169">
        <v>6656.1101218678932</v>
      </c>
      <c r="O169">
        <f t="shared" si="6"/>
        <v>7830.7177904328155</v>
      </c>
      <c r="P169" t="str">
        <f t="shared" si="7"/>
        <v>03-2024</v>
      </c>
      <c r="Q169" t="str">
        <f t="shared" si="8"/>
        <v>Normal</v>
      </c>
    </row>
    <row r="170" spans="1:17" x14ac:dyDescent="0.3">
      <c r="A170" t="s">
        <v>205</v>
      </c>
      <c r="C170" t="s">
        <v>22</v>
      </c>
      <c r="D170" t="s">
        <v>52</v>
      </c>
      <c r="E170" t="s">
        <v>552</v>
      </c>
      <c r="F170" t="s">
        <v>19</v>
      </c>
      <c r="G170" t="s">
        <v>552</v>
      </c>
      <c r="H170">
        <v>1</v>
      </c>
      <c r="I170">
        <v>799.5</v>
      </c>
      <c r="J170">
        <v>0</v>
      </c>
      <c r="K170" s="3">
        <v>-500</v>
      </c>
      <c r="L170" t="s">
        <v>39</v>
      </c>
      <c r="M170" t="s">
        <v>16</v>
      </c>
      <c r="N170">
        <v>799.5</v>
      </c>
      <c r="O170">
        <f t="shared" si="6"/>
        <v>799.5</v>
      </c>
      <c r="P170" t="str">
        <f t="shared" si="7"/>
        <v>01-1900</v>
      </c>
      <c r="Q170" t="str">
        <f t="shared" si="8"/>
        <v>Normal</v>
      </c>
    </row>
    <row r="171" spans="1:17" x14ac:dyDescent="0.3">
      <c r="A171" t="s">
        <v>206</v>
      </c>
      <c r="B171" s="5">
        <v>45337</v>
      </c>
      <c r="C171" t="s">
        <v>12</v>
      </c>
      <c r="D171" t="s">
        <v>552</v>
      </c>
      <c r="E171" t="s">
        <v>552</v>
      </c>
      <c r="F171" t="s">
        <v>25</v>
      </c>
      <c r="G171" t="s">
        <v>15</v>
      </c>
      <c r="H171">
        <v>1</v>
      </c>
      <c r="I171">
        <v>7830.7177904328155</v>
      </c>
      <c r="J171">
        <v>5</v>
      </c>
      <c r="K171" s="3">
        <v>15000</v>
      </c>
      <c r="L171" t="s">
        <v>39</v>
      </c>
      <c r="M171" t="s">
        <v>552</v>
      </c>
      <c r="N171">
        <v>7439.1819009111741</v>
      </c>
      <c r="O171">
        <f t="shared" si="6"/>
        <v>7830.7177904328155</v>
      </c>
      <c r="P171" t="str">
        <f t="shared" si="7"/>
        <v>02-2024</v>
      </c>
      <c r="Q171" t="str">
        <f t="shared" si="8"/>
        <v>Normal</v>
      </c>
    </row>
    <row r="172" spans="1:17" x14ac:dyDescent="0.3">
      <c r="A172" t="s">
        <v>160</v>
      </c>
      <c r="B172" s="5">
        <v>45337</v>
      </c>
      <c r="C172" t="s">
        <v>32</v>
      </c>
      <c r="D172" t="s">
        <v>44</v>
      </c>
      <c r="E172" t="s">
        <v>18</v>
      </c>
      <c r="F172" t="s">
        <v>25</v>
      </c>
      <c r="G172" t="s">
        <v>47</v>
      </c>
      <c r="H172">
        <v>1</v>
      </c>
      <c r="I172">
        <v>25999</v>
      </c>
      <c r="J172">
        <v>0</v>
      </c>
      <c r="K172" s="3">
        <v>15000</v>
      </c>
      <c r="L172" t="s">
        <v>552</v>
      </c>
      <c r="M172" t="s">
        <v>30</v>
      </c>
      <c r="N172">
        <v>38998.5</v>
      </c>
      <c r="O172">
        <f t="shared" si="6"/>
        <v>25999</v>
      </c>
      <c r="P172" t="str">
        <f t="shared" si="7"/>
        <v>02-2024</v>
      </c>
      <c r="Q172" t="str">
        <f t="shared" si="8"/>
        <v>High</v>
      </c>
    </row>
    <row r="173" spans="1:17" x14ac:dyDescent="0.3">
      <c r="A173" t="s">
        <v>193</v>
      </c>
      <c r="B173" s="5">
        <v>45337</v>
      </c>
      <c r="C173" t="s">
        <v>32</v>
      </c>
      <c r="D173" t="s">
        <v>52</v>
      </c>
      <c r="E173" t="s">
        <v>24</v>
      </c>
      <c r="F173" t="s">
        <v>19</v>
      </c>
      <c r="G173" t="s">
        <v>60</v>
      </c>
      <c r="H173">
        <v>4</v>
      </c>
      <c r="I173">
        <v>7830.7177904328155</v>
      </c>
      <c r="J173">
        <v>5</v>
      </c>
      <c r="K173" s="3">
        <v>15000</v>
      </c>
      <c r="L173" t="s">
        <v>39</v>
      </c>
      <c r="M173" t="s">
        <v>552</v>
      </c>
      <c r="N173">
        <v>31322.871161731262</v>
      </c>
      <c r="O173">
        <f t="shared" si="6"/>
        <v>31322.871161731262</v>
      </c>
      <c r="P173" t="str">
        <f t="shared" si="7"/>
        <v>02-2024</v>
      </c>
      <c r="Q173" t="str">
        <f t="shared" si="8"/>
        <v>High</v>
      </c>
    </row>
    <row r="174" spans="1:17" x14ac:dyDescent="0.3">
      <c r="A174" t="s">
        <v>209</v>
      </c>
      <c r="B174" s="5">
        <v>45376</v>
      </c>
      <c r="C174" t="s">
        <v>552</v>
      </c>
      <c r="D174" t="s">
        <v>552</v>
      </c>
      <c r="E174" t="s">
        <v>36</v>
      </c>
      <c r="F174" t="s">
        <v>25</v>
      </c>
      <c r="G174" t="s">
        <v>20</v>
      </c>
      <c r="H174">
        <v>1</v>
      </c>
      <c r="I174">
        <v>7830.7177904328155</v>
      </c>
      <c r="J174">
        <v>15</v>
      </c>
      <c r="K174" s="3">
        <v>499.99</v>
      </c>
      <c r="L174" t="s">
        <v>552</v>
      </c>
      <c r="M174" t="s">
        <v>552</v>
      </c>
      <c r="N174">
        <v>6656.1101218678932</v>
      </c>
      <c r="O174">
        <f t="shared" si="6"/>
        <v>7830.7177904328155</v>
      </c>
      <c r="P174" t="str">
        <f t="shared" si="7"/>
        <v>03-2024</v>
      </c>
      <c r="Q174" t="str">
        <f t="shared" si="8"/>
        <v>Normal</v>
      </c>
    </row>
    <row r="175" spans="1:17" x14ac:dyDescent="0.3">
      <c r="A175" t="s">
        <v>210</v>
      </c>
      <c r="C175" t="s">
        <v>12</v>
      </c>
      <c r="D175" t="s">
        <v>44</v>
      </c>
      <c r="E175" t="s">
        <v>36</v>
      </c>
      <c r="F175" t="s">
        <v>552</v>
      </c>
      <c r="G175" t="s">
        <v>28</v>
      </c>
      <c r="H175">
        <v>3</v>
      </c>
      <c r="I175">
        <v>499.99</v>
      </c>
      <c r="J175">
        <v>0</v>
      </c>
      <c r="K175" s="3">
        <v>0</v>
      </c>
      <c r="L175" t="s">
        <v>49</v>
      </c>
      <c r="M175" t="s">
        <v>552</v>
      </c>
      <c r="N175">
        <v>1499.97</v>
      </c>
      <c r="O175">
        <f t="shared" si="6"/>
        <v>1499.97</v>
      </c>
      <c r="P175" t="str">
        <f t="shared" si="7"/>
        <v>01-1900</v>
      </c>
      <c r="Q175" t="str">
        <f t="shared" si="8"/>
        <v>Normal</v>
      </c>
    </row>
    <row r="176" spans="1:17" x14ac:dyDescent="0.3">
      <c r="A176" t="s">
        <v>211</v>
      </c>
      <c r="C176" t="s">
        <v>27</v>
      </c>
      <c r="D176" t="s">
        <v>44</v>
      </c>
      <c r="E176" t="s">
        <v>18</v>
      </c>
      <c r="F176" t="s">
        <v>14</v>
      </c>
      <c r="G176" t="s">
        <v>20</v>
      </c>
      <c r="H176">
        <v>1</v>
      </c>
      <c r="I176">
        <v>799.5</v>
      </c>
      <c r="J176">
        <v>5</v>
      </c>
      <c r="K176" s="3">
        <v>15000</v>
      </c>
      <c r="L176" t="s">
        <v>552</v>
      </c>
      <c r="M176" t="s">
        <v>30</v>
      </c>
      <c r="N176">
        <v>759.52499999999998</v>
      </c>
      <c r="O176">
        <f t="shared" si="6"/>
        <v>799.5</v>
      </c>
      <c r="P176" t="str">
        <f t="shared" si="7"/>
        <v>01-1900</v>
      </c>
      <c r="Q176" t="str">
        <f t="shared" si="8"/>
        <v>Normal</v>
      </c>
    </row>
    <row r="177" spans="1:17" x14ac:dyDescent="0.3">
      <c r="A177" t="s">
        <v>196</v>
      </c>
      <c r="B177" s="5">
        <v>45337</v>
      </c>
      <c r="C177" t="s">
        <v>552</v>
      </c>
      <c r="D177" t="s">
        <v>44</v>
      </c>
      <c r="E177" t="s">
        <v>18</v>
      </c>
      <c r="F177" t="s">
        <v>25</v>
      </c>
      <c r="G177" t="s">
        <v>28</v>
      </c>
      <c r="H177">
        <v>1</v>
      </c>
      <c r="I177">
        <v>25999</v>
      </c>
      <c r="J177">
        <v>15</v>
      </c>
      <c r="K177" s="3">
        <v>0</v>
      </c>
      <c r="L177" t="s">
        <v>53</v>
      </c>
      <c r="M177" t="s">
        <v>16</v>
      </c>
      <c r="N177">
        <v>31322.871161731262</v>
      </c>
      <c r="O177">
        <f t="shared" si="6"/>
        <v>25999</v>
      </c>
      <c r="P177" t="str">
        <f t="shared" si="7"/>
        <v>02-2024</v>
      </c>
      <c r="Q177" t="str">
        <f t="shared" si="8"/>
        <v>High</v>
      </c>
    </row>
    <row r="178" spans="1:17" x14ac:dyDescent="0.3">
      <c r="A178" t="s">
        <v>207</v>
      </c>
      <c r="B178" s="5">
        <v>45337</v>
      </c>
      <c r="C178" t="s">
        <v>22</v>
      </c>
      <c r="D178" t="s">
        <v>23</v>
      </c>
      <c r="E178" t="s">
        <v>18</v>
      </c>
      <c r="F178" t="s">
        <v>14</v>
      </c>
      <c r="G178" t="s">
        <v>552</v>
      </c>
      <c r="H178">
        <v>1</v>
      </c>
      <c r="I178">
        <v>12999</v>
      </c>
      <c r="J178">
        <v>0</v>
      </c>
      <c r="K178" s="3">
        <v>30000</v>
      </c>
      <c r="L178" t="s">
        <v>552</v>
      </c>
      <c r="M178" t="s">
        <v>552</v>
      </c>
      <c r="N178">
        <v>29756.727603644697</v>
      </c>
      <c r="O178">
        <f t="shared" si="6"/>
        <v>12999</v>
      </c>
      <c r="P178" t="str">
        <f t="shared" si="7"/>
        <v>02-2024</v>
      </c>
      <c r="Q178" t="str">
        <f t="shared" si="8"/>
        <v>High</v>
      </c>
    </row>
    <row r="179" spans="1:17" x14ac:dyDescent="0.3">
      <c r="A179" t="s">
        <v>214</v>
      </c>
      <c r="B179" s="5">
        <v>45376</v>
      </c>
      <c r="C179" t="s">
        <v>552</v>
      </c>
      <c r="D179" t="s">
        <v>44</v>
      </c>
      <c r="E179" t="s">
        <v>552</v>
      </c>
      <c r="F179" t="s">
        <v>552</v>
      </c>
      <c r="G179" t="s">
        <v>60</v>
      </c>
      <c r="H179">
        <v>1</v>
      </c>
      <c r="I179">
        <v>499.99</v>
      </c>
      <c r="J179">
        <v>50</v>
      </c>
      <c r="K179" s="3">
        <v>499.99</v>
      </c>
      <c r="L179" t="s">
        <v>53</v>
      </c>
      <c r="M179" t="s">
        <v>552</v>
      </c>
      <c r="N179">
        <v>249.995</v>
      </c>
      <c r="O179">
        <f t="shared" si="6"/>
        <v>499.99</v>
      </c>
      <c r="P179" t="str">
        <f t="shared" si="7"/>
        <v>03-2024</v>
      </c>
      <c r="Q179" t="str">
        <f t="shared" si="8"/>
        <v>Normal</v>
      </c>
    </row>
    <row r="180" spans="1:17" x14ac:dyDescent="0.3">
      <c r="A180" t="s">
        <v>212</v>
      </c>
      <c r="B180" s="5">
        <v>45337</v>
      </c>
      <c r="C180" t="s">
        <v>32</v>
      </c>
      <c r="D180" t="s">
        <v>44</v>
      </c>
      <c r="E180" t="s">
        <v>552</v>
      </c>
      <c r="F180" t="s">
        <v>14</v>
      </c>
      <c r="G180" t="s">
        <v>552</v>
      </c>
      <c r="H180">
        <v>3</v>
      </c>
      <c r="I180">
        <v>7830.7177904328155</v>
      </c>
      <c r="J180">
        <v>50</v>
      </c>
      <c r="K180" s="3">
        <v>499.99</v>
      </c>
      <c r="L180" t="s">
        <v>29</v>
      </c>
      <c r="M180" t="s">
        <v>552</v>
      </c>
      <c r="N180">
        <v>29756.727603644697</v>
      </c>
      <c r="O180">
        <f t="shared" si="6"/>
        <v>23492.153371298446</v>
      </c>
      <c r="P180" t="str">
        <f t="shared" si="7"/>
        <v>02-2024</v>
      </c>
      <c r="Q180" t="str">
        <f t="shared" si="8"/>
        <v>High</v>
      </c>
    </row>
    <row r="181" spans="1:17" x14ac:dyDescent="0.3">
      <c r="A181" t="s">
        <v>216</v>
      </c>
      <c r="B181" s="5">
        <v>45376</v>
      </c>
      <c r="C181" t="s">
        <v>12</v>
      </c>
      <c r="D181" t="s">
        <v>13</v>
      </c>
      <c r="E181" t="s">
        <v>552</v>
      </c>
      <c r="F181" t="s">
        <v>25</v>
      </c>
      <c r="G181" t="s">
        <v>15</v>
      </c>
      <c r="H181">
        <v>1</v>
      </c>
      <c r="I181">
        <v>7830.7177904328155</v>
      </c>
      <c r="J181">
        <v>0</v>
      </c>
      <c r="K181" s="3">
        <v>30000</v>
      </c>
      <c r="L181" t="s">
        <v>49</v>
      </c>
      <c r="M181" t="s">
        <v>33</v>
      </c>
      <c r="N181">
        <v>7830.7177904328155</v>
      </c>
      <c r="O181">
        <f t="shared" si="6"/>
        <v>7830.7177904328155</v>
      </c>
      <c r="P181" t="str">
        <f t="shared" si="7"/>
        <v>03-2024</v>
      </c>
      <c r="Q181" t="str">
        <f t="shared" si="8"/>
        <v>Normal</v>
      </c>
    </row>
    <row r="182" spans="1:17" x14ac:dyDescent="0.3">
      <c r="A182" t="s">
        <v>215</v>
      </c>
      <c r="B182" s="5">
        <v>45337</v>
      </c>
      <c r="C182" t="s">
        <v>22</v>
      </c>
      <c r="D182" t="s">
        <v>13</v>
      </c>
      <c r="E182" t="s">
        <v>552</v>
      </c>
      <c r="F182" t="s">
        <v>19</v>
      </c>
      <c r="G182" t="s">
        <v>28</v>
      </c>
      <c r="H182">
        <v>4</v>
      </c>
      <c r="I182">
        <v>25999</v>
      </c>
      <c r="J182">
        <v>0</v>
      </c>
      <c r="K182" s="3">
        <v>-500</v>
      </c>
      <c r="L182" t="s">
        <v>29</v>
      </c>
      <c r="M182" t="s">
        <v>16</v>
      </c>
      <c r="N182">
        <v>28190.584045558135</v>
      </c>
      <c r="O182">
        <f t="shared" si="6"/>
        <v>103996</v>
      </c>
      <c r="P182" t="str">
        <f t="shared" si="7"/>
        <v>02-2024</v>
      </c>
      <c r="Q182" t="str">
        <f t="shared" si="8"/>
        <v>High</v>
      </c>
    </row>
    <row r="183" spans="1:17" x14ac:dyDescent="0.3">
      <c r="A183" t="s">
        <v>229</v>
      </c>
      <c r="B183" s="5">
        <v>45337</v>
      </c>
      <c r="C183" t="s">
        <v>22</v>
      </c>
      <c r="D183" t="s">
        <v>44</v>
      </c>
      <c r="E183" t="s">
        <v>552</v>
      </c>
      <c r="F183" t="s">
        <v>19</v>
      </c>
      <c r="G183" t="s">
        <v>15</v>
      </c>
      <c r="H183">
        <v>2</v>
      </c>
      <c r="I183">
        <v>7830.7177904328155</v>
      </c>
      <c r="J183">
        <v>0</v>
      </c>
      <c r="K183" s="3">
        <v>30000</v>
      </c>
      <c r="L183" t="s">
        <v>49</v>
      </c>
      <c r="M183" t="s">
        <v>552</v>
      </c>
      <c r="N183">
        <v>25999</v>
      </c>
      <c r="O183">
        <f t="shared" si="6"/>
        <v>15661.435580865631</v>
      </c>
      <c r="P183" t="str">
        <f t="shared" si="7"/>
        <v>02-2024</v>
      </c>
      <c r="Q183" t="str">
        <f t="shared" si="8"/>
        <v>High</v>
      </c>
    </row>
    <row r="184" spans="1:17" x14ac:dyDescent="0.3">
      <c r="A184" t="s">
        <v>219</v>
      </c>
      <c r="C184" t="s">
        <v>552</v>
      </c>
      <c r="D184" t="s">
        <v>552</v>
      </c>
      <c r="E184" t="s">
        <v>24</v>
      </c>
      <c r="F184" t="s">
        <v>25</v>
      </c>
      <c r="G184" t="s">
        <v>552</v>
      </c>
      <c r="H184">
        <v>2</v>
      </c>
      <c r="I184">
        <v>799.5</v>
      </c>
      <c r="J184">
        <v>5</v>
      </c>
      <c r="K184" s="3">
        <v>0</v>
      </c>
      <c r="L184" t="s">
        <v>552</v>
      </c>
      <c r="M184" t="s">
        <v>552</v>
      </c>
      <c r="N184">
        <v>1519.05</v>
      </c>
      <c r="O184">
        <f t="shared" si="6"/>
        <v>1599</v>
      </c>
      <c r="P184" t="str">
        <f t="shared" si="7"/>
        <v>01-1900</v>
      </c>
      <c r="Q184" t="str">
        <f t="shared" si="8"/>
        <v>Normal</v>
      </c>
    </row>
    <row r="185" spans="1:17" x14ac:dyDescent="0.3">
      <c r="A185" t="s">
        <v>220</v>
      </c>
      <c r="B185" s="5">
        <v>45306</v>
      </c>
      <c r="C185" t="s">
        <v>22</v>
      </c>
      <c r="D185" t="s">
        <v>13</v>
      </c>
      <c r="E185" t="s">
        <v>36</v>
      </c>
      <c r="F185" t="s">
        <v>19</v>
      </c>
      <c r="G185" t="s">
        <v>60</v>
      </c>
      <c r="H185">
        <v>1</v>
      </c>
      <c r="I185">
        <v>499.99</v>
      </c>
      <c r="J185">
        <v>5</v>
      </c>
      <c r="K185" s="3">
        <v>30000</v>
      </c>
      <c r="L185" t="s">
        <v>53</v>
      </c>
      <c r="M185" t="s">
        <v>30</v>
      </c>
      <c r="N185">
        <v>474.9905</v>
      </c>
      <c r="O185">
        <f t="shared" si="6"/>
        <v>499.99</v>
      </c>
      <c r="P185" t="str">
        <f t="shared" si="7"/>
        <v>01-2024</v>
      </c>
      <c r="Q185" t="str">
        <f t="shared" si="8"/>
        <v>Normal</v>
      </c>
    </row>
    <row r="186" spans="1:17" x14ac:dyDescent="0.3">
      <c r="A186" t="s">
        <v>246</v>
      </c>
      <c r="B186" s="5">
        <v>45337</v>
      </c>
      <c r="C186" t="s">
        <v>32</v>
      </c>
      <c r="D186" t="s">
        <v>23</v>
      </c>
      <c r="E186" t="s">
        <v>552</v>
      </c>
      <c r="F186" t="s">
        <v>552</v>
      </c>
      <c r="G186" t="s">
        <v>28</v>
      </c>
      <c r="H186">
        <v>2</v>
      </c>
      <c r="I186">
        <v>12999</v>
      </c>
      <c r="J186">
        <v>0</v>
      </c>
      <c r="K186" s="3">
        <v>0</v>
      </c>
      <c r="L186" t="s">
        <v>49</v>
      </c>
      <c r="M186" t="s">
        <v>33</v>
      </c>
      <c r="N186">
        <v>25999</v>
      </c>
      <c r="O186">
        <f t="shared" si="6"/>
        <v>25998</v>
      </c>
      <c r="P186" t="str">
        <f t="shared" si="7"/>
        <v>02-2024</v>
      </c>
      <c r="Q186" t="str">
        <f t="shared" si="8"/>
        <v>High</v>
      </c>
    </row>
    <row r="187" spans="1:17" x14ac:dyDescent="0.3">
      <c r="A187" t="s">
        <v>222</v>
      </c>
      <c r="B187" s="5">
        <v>45376</v>
      </c>
      <c r="C187" t="s">
        <v>32</v>
      </c>
      <c r="D187" t="s">
        <v>44</v>
      </c>
      <c r="E187" t="s">
        <v>18</v>
      </c>
      <c r="F187" t="s">
        <v>19</v>
      </c>
      <c r="G187" t="s">
        <v>47</v>
      </c>
      <c r="H187">
        <v>1</v>
      </c>
      <c r="I187">
        <v>499.99</v>
      </c>
      <c r="J187">
        <v>0</v>
      </c>
      <c r="K187" s="3">
        <v>-500</v>
      </c>
      <c r="L187" t="s">
        <v>552</v>
      </c>
      <c r="M187" t="s">
        <v>33</v>
      </c>
      <c r="N187">
        <v>499.99</v>
      </c>
      <c r="O187">
        <f t="shared" si="6"/>
        <v>499.99</v>
      </c>
      <c r="P187" t="str">
        <f t="shared" si="7"/>
        <v>03-2024</v>
      </c>
      <c r="Q187" t="str">
        <f t="shared" si="8"/>
        <v>Normal</v>
      </c>
    </row>
    <row r="188" spans="1:17" x14ac:dyDescent="0.3">
      <c r="A188" t="s">
        <v>223</v>
      </c>
      <c r="B188" s="5">
        <v>45337</v>
      </c>
      <c r="C188" t="s">
        <v>552</v>
      </c>
      <c r="D188" t="s">
        <v>44</v>
      </c>
      <c r="E188" t="s">
        <v>552</v>
      </c>
      <c r="F188" t="s">
        <v>552</v>
      </c>
      <c r="G188" t="s">
        <v>552</v>
      </c>
      <c r="H188">
        <v>1</v>
      </c>
      <c r="I188">
        <v>799.5</v>
      </c>
      <c r="J188">
        <v>0</v>
      </c>
      <c r="K188" s="3">
        <v>15000</v>
      </c>
      <c r="L188" t="s">
        <v>552</v>
      </c>
      <c r="M188" t="s">
        <v>30</v>
      </c>
      <c r="N188">
        <v>799.5</v>
      </c>
      <c r="O188">
        <f t="shared" si="6"/>
        <v>799.5</v>
      </c>
      <c r="P188" t="str">
        <f t="shared" si="7"/>
        <v>02-2024</v>
      </c>
      <c r="Q188" t="str">
        <f t="shared" si="8"/>
        <v>Normal</v>
      </c>
    </row>
    <row r="189" spans="1:17" x14ac:dyDescent="0.3">
      <c r="A189" t="s">
        <v>267</v>
      </c>
      <c r="B189" s="5">
        <v>45337</v>
      </c>
      <c r="C189" t="s">
        <v>552</v>
      </c>
      <c r="D189" t="s">
        <v>52</v>
      </c>
      <c r="E189" t="s">
        <v>552</v>
      </c>
      <c r="F189" t="s">
        <v>14</v>
      </c>
      <c r="G189" t="s">
        <v>20</v>
      </c>
      <c r="H189">
        <v>1</v>
      </c>
      <c r="I189">
        <v>25999</v>
      </c>
      <c r="J189">
        <v>50</v>
      </c>
      <c r="K189" s="3">
        <v>0</v>
      </c>
      <c r="L189" t="s">
        <v>552</v>
      </c>
      <c r="M189" t="s">
        <v>16</v>
      </c>
      <c r="N189">
        <v>25998</v>
      </c>
      <c r="O189">
        <f t="shared" si="6"/>
        <v>25999</v>
      </c>
      <c r="P189" t="str">
        <f t="shared" si="7"/>
        <v>02-2024</v>
      </c>
      <c r="Q189" t="str">
        <f t="shared" si="8"/>
        <v>High</v>
      </c>
    </row>
    <row r="190" spans="1:17" x14ac:dyDescent="0.3">
      <c r="A190" t="s">
        <v>225</v>
      </c>
      <c r="B190" s="5">
        <v>45337</v>
      </c>
      <c r="C190" t="s">
        <v>27</v>
      </c>
      <c r="D190" t="s">
        <v>13</v>
      </c>
      <c r="E190" t="s">
        <v>552</v>
      </c>
      <c r="F190" t="s">
        <v>19</v>
      </c>
      <c r="G190" t="s">
        <v>28</v>
      </c>
      <c r="H190">
        <v>1</v>
      </c>
      <c r="I190">
        <v>499.99</v>
      </c>
      <c r="J190">
        <v>0</v>
      </c>
      <c r="K190" s="3">
        <v>30000</v>
      </c>
      <c r="L190" t="s">
        <v>53</v>
      </c>
      <c r="M190" t="s">
        <v>30</v>
      </c>
      <c r="N190">
        <v>499.99</v>
      </c>
      <c r="O190">
        <f t="shared" si="6"/>
        <v>499.99</v>
      </c>
      <c r="P190" t="str">
        <f t="shared" si="7"/>
        <v>02-2024</v>
      </c>
      <c r="Q190" t="str">
        <f t="shared" si="8"/>
        <v>Normal</v>
      </c>
    </row>
    <row r="191" spans="1:17" x14ac:dyDescent="0.3">
      <c r="A191" t="s">
        <v>268</v>
      </c>
      <c r="B191" s="5">
        <v>45337</v>
      </c>
      <c r="C191" t="s">
        <v>552</v>
      </c>
      <c r="D191" t="s">
        <v>13</v>
      </c>
      <c r="E191" t="s">
        <v>552</v>
      </c>
      <c r="F191" t="s">
        <v>19</v>
      </c>
      <c r="G191" t="s">
        <v>28</v>
      </c>
      <c r="H191">
        <v>1</v>
      </c>
      <c r="I191">
        <v>25999</v>
      </c>
      <c r="J191">
        <v>0</v>
      </c>
      <c r="K191" s="3">
        <v>-500</v>
      </c>
      <c r="L191" t="s">
        <v>552</v>
      </c>
      <c r="M191" t="s">
        <v>16</v>
      </c>
      <c r="N191">
        <v>25998</v>
      </c>
      <c r="O191">
        <f t="shared" si="6"/>
        <v>25999</v>
      </c>
      <c r="P191" t="str">
        <f t="shared" si="7"/>
        <v>02-2024</v>
      </c>
      <c r="Q191" t="str">
        <f t="shared" si="8"/>
        <v>High</v>
      </c>
    </row>
    <row r="192" spans="1:17" x14ac:dyDescent="0.3">
      <c r="A192" t="s">
        <v>227</v>
      </c>
      <c r="C192" t="s">
        <v>12</v>
      </c>
      <c r="D192" t="s">
        <v>552</v>
      </c>
      <c r="E192" t="s">
        <v>36</v>
      </c>
      <c r="F192" t="s">
        <v>552</v>
      </c>
      <c r="G192" t="s">
        <v>20</v>
      </c>
      <c r="H192">
        <v>4</v>
      </c>
      <c r="I192">
        <v>7830.7177904328155</v>
      </c>
      <c r="J192">
        <v>10</v>
      </c>
      <c r="K192" s="3">
        <v>499.99</v>
      </c>
      <c r="L192" t="s">
        <v>39</v>
      </c>
      <c r="M192" t="s">
        <v>37</v>
      </c>
      <c r="N192">
        <v>28190.584045558135</v>
      </c>
      <c r="O192">
        <f t="shared" si="6"/>
        <v>31322.871161731262</v>
      </c>
      <c r="P192" t="str">
        <f t="shared" si="7"/>
        <v>01-1900</v>
      </c>
      <c r="Q192" t="str">
        <f t="shared" si="8"/>
        <v>High</v>
      </c>
    </row>
    <row r="193" spans="1:17" x14ac:dyDescent="0.3">
      <c r="A193" t="s">
        <v>270</v>
      </c>
      <c r="B193" s="5">
        <v>45337</v>
      </c>
      <c r="C193" t="s">
        <v>552</v>
      </c>
      <c r="D193" t="s">
        <v>44</v>
      </c>
      <c r="E193" t="s">
        <v>24</v>
      </c>
      <c r="F193" t="s">
        <v>19</v>
      </c>
      <c r="G193" t="s">
        <v>60</v>
      </c>
      <c r="H193">
        <v>1</v>
      </c>
      <c r="I193">
        <v>12999</v>
      </c>
      <c r="J193">
        <v>0</v>
      </c>
      <c r="K193" s="3">
        <v>0</v>
      </c>
      <c r="L193" t="s">
        <v>39</v>
      </c>
      <c r="M193" t="s">
        <v>552</v>
      </c>
      <c r="N193">
        <v>25998</v>
      </c>
      <c r="O193">
        <f t="shared" si="6"/>
        <v>12999</v>
      </c>
      <c r="P193" t="str">
        <f t="shared" si="7"/>
        <v>02-2024</v>
      </c>
      <c r="Q193" t="str">
        <f t="shared" si="8"/>
        <v>High</v>
      </c>
    </row>
    <row r="194" spans="1:17" x14ac:dyDescent="0.3">
      <c r="A194" t="s">
        <v>288</v>
      </c>
      <c r="B194" s="5">
        <v>45337</v>
      </c>
      <c r="C194" t="s">
        <v>552</v>
      </c>
      <c r="D194" t="s">
        <v>44</v>
      </c>
      <c r="E194" t="s">
        <v>552</v>
      </c>
      <c r="F194" t="s">
        <v>25</v>
      </c>
      <c r="G194" t="s">
        <v>28</v>
      </c>
      <c r="H194">
        <v>4</v>
      </c>
      <c r="I194">
        <v>25999</v>
      </c>
      <c r="J194">
        <v>0</v>
      </c>
      <c r="K194" s="3">
        <v>-500</v>
      </c>
      <c r="L194" t="s">
        <v>53</v>
      </c>
      <c r="M194" t="s">
        <v>16</v>
      </c>
      <c r="N194">
        <v>24699.05</v>
      </c>
      <c r="O194">
        <f t="shared" ref="O194:O257" si="9">H194*I194</f>
        <v>103996</v>
      </c>
      <c r="P194" t="str">
        <f t="shared" ref="P194:P257" si="10">TEXT(B194,"MM-YYYY")</f>
        <v>02-2024</v>
      </c>
      <c r="Q194" t="str">
        <f t="shared" ref="Q194:Q257" si="11">IF(N194&gt;10000,"High","Normal")</f>
        <v>High</v>
      </c>
    </row>
    <row r="195" spans="1:17" x14ac:dyDescent="0.3">
      <c r="A195" t="s">
        <v>230</v>
      </c>
      <c r="B195" s="5">
        <v>45337</v>
      </c>
      <c r="C195" t="s">
        <v>27</v>
      </c>
      <c r="D195" t="s">
        <v>552</v>
      </c>
      <c r="E195" t="s">
        <v>552</v>
      </c>
      <c r="F195" t="s">
        <v>14</v>
      </c>
      <c r="G195" t="s">
        <v>552</v>
      </c>
      <c r="H195">
        <v>1</v>
      </c>
      <c r="I195">
        <v>7830.7177904328155</v>
      </c>
      <c r="J195">
        <v>0</v>
      </c>
      <c r="K195" s="3">
        <v>499.99</v>
      </c>
      <c r="L195" t="s">
        <v>552</v>
      </c>
      <c r="M195" t="s">
        <v>30</v>
      </c>
      <c r="N195">
        <v>7830.7177904328155</v>
      </c>
      <c r="O195">
        <f t="shared" si="9"/>
        <v>7830.7177904328155</v>
      </c>
      <c r="P195" t="str">
        <f t="shared" si="10"/>
        <v>02-2024</v>
      </c>
      <c r="Q195" t="str">
        <f t="shared" si="11"/>
        <v>Normal</v>
      </c>
    </row>
    <row r="196" spans="1:17" x14ac:dyDescent="0.3">
      <c r="A196" t="s">
        <v>231</v>
      </c>
      <c r="B196" s="5">
        <v>45337</v>
      </c>
      <c r="C196" t="s">
        <v>552</v>
      </c>
      <c r="D196" t="s">
        <v>44</v>
      </c>
      <c r="E196" t="s">
        <v>24</v>
      </c>
      <c r="F196" t="s">
        <v>552</v>
      </c>
      <c r="G196" t="s">
        <v>552</v>
      </c>
      <c r="H196">
        <v>1</v>
      </c>
      <c r="I196">
        <v>7830.7177904328155</v>
      </c>
      <c r="J196">
        <v>15</v>
      </c>
      <c r="K196" s="3">
        <v>0</v>
      </c>
      <c r="L196" t="s">
        <v>39</v>
      </c>
      <c r="M196" t="s">
        <v>16</v>
      </c>
      <c r="N196">
        <v>6656.1101218678932</v>
      </c>
      <c r="O196">
        <f t="shared" si="9"/>
        <v>7830.7177904328155</v>
      </c>
      <c r="P196" t="str">
        <f t="shared" si="10"/>
        <v>02-2024</v>
      </c>
      <c r="Q196" t="str">
        <f t="shared" si="11"/>
        <v>Normal</v>
      </c>
    </row>
    <row r="197" spans="1:17" x14ac:dyDescent="0.3">
      <c r="A197" t="s">
        <v>232</v>
      </c>
      <c r="C197" t="s">
        <v>32</v>
      </c>
      <c r="D197" t="s">
        <v>552</v>
      </c>
      <c r="E197" t="s">
        <v>552</v>
      </c>
      <c r="F197" t="s">
        <v>14</v>
      </c>
      <c r="G197" t="s">
        <v>28</v>
      </c>
      <c r="H197">
        <v>2</v>
      </c>
      <c r="I197">
        <v>799.5</v>
      </c>
      <c r="J197">
        <v>50</v>
      </c>
      <c r="K197" s="3">
        <v>0</v>
      </c>
      <c r="L197" t="s">
        <v>39</v>
      </c>
      <c r="M197" t="s">
        <v>37</v>
      </c>
      <c r="N197">
        <v>799.5</v>
      </c>
      <c r="O197">
        <f t="shared" si="9"/>
        <v>1599</v>
      </c>
      <c r="P197" t="str">
        <f t="shared" si="10"/>
        <v>01-1900</v>
      </c>
      <c r="Q197" t="str">
        <f t="shared" si="11"/>
        <v>Normal</v>
      </c>
    </row>
    <row r="198" spans="1:17" x14ac:dyDescent="0.3">
      <c r="A198" t="s">
        <v>294</v>
      </c>
      <c r="B198" s="5">
        <v>45337</v>
      </c>
      <c r="C198" t="s">
        <v>22</v>
      </c>
      <c r="D198" t="s">
        <v>552</v>
      </c>
      <c r="E198" t="s">
        <v>24</v>
      </c>
      <c r="F198" t="s">
        <v>552</v>
      </c>
      <c r="G198" t="s">
        <v>60</v>
      </c>
      <c r="H198">
        <v>2</v>
      </c>
      <c r="I198">
        <v>25999</v>
      </c>
      <c r="J198">
        <v>5</v>
      </c>
      <c r="K198" s="3">
        <v>15000</v>
      </c>
      <c r="L198" t="s">
        <v>29</v>
      </c>
      <c r="M198" t="s">
        <v>33</v>
      </c>
      <c r="N198">
        <v>24699.05</v>
      </c>
      <c r="O198">
        <f t="shared" si="9"/>
        <v>51998</v>
      </c>
      <c r="P198" t="str">
        <f t="shared" si="10"/>
        <v>02-2024</v>
      </c>
      <c r="Q198" t="str">
        <f t="shared" si="11"/>
        <v>High</v>
      </c>
    </row>
    <row r="199" spans="1:17" x14ac:dyDescent="0.3">
      <c r="A199" t="s">
        <v>234</v>
      </c>
      <c r="B199" s="5">
        <v>45337</v>
      </c>
      <c r="C199" t="s">
        <v>22</v>
      </c>
      <c r="D199" t="s">
        <v>44</v>
      </c>
      <c r="E199" t="s">
        <v>24</v>
      </c>
      <c r="F199" t="s">
        <v>25</v>
      </c>
      <c r="G199" t="s">
        <v>552</v>
      </c>
      <c r="H199">
        <v>1</v>
      </c>
      <c r="I199">
        <v>7830.7177904328155</v>
      </c>
      <c r="J199">
        <v>10</v>
      </c>
      <c r="K199" s="3">
        <v>30000</v>
      </c>
      <c r="L199" t="s">
        <v>552</v>
      </c>
      <c r="M199" t="s">
        <v>552</v>
      </c>
      <c r="N199">
        <v>7047.6460113895337</v>
      </c>
      <c r="O199">
        <f t="shared" si="9"/>
        <v>7830.7177904328155</v>
      </c>
      <c r="P199" t="str">
        <f t="shared" si="10"/>
        <v>02-2024</v>
      </c>
      <c r="Q199" t="str">
        <f t="shared" si="11"/>
        <v>Normal</v>
      </c>
    </row>
    <row r="200" spans="1:17" x14ac:dyDescent="0.3">
      <c r="A200" t="s">
        <v>235</v>
      </c>
      <c r="C200" t="s">
        <v>552</v>
      </c>
      <c r="D200" t="s">
        <v>23</v>
      </c>
      <c r="E200" t="s">
        <v>36</v>
      </c>
      <c r="F200" t="s">
        <v>14</v>
      </c>
      <c r="G200" t="s">
        <v>552</v>
      </c>
      <c r="H200">
        <v>4</v>
      </c>
      <c r="I200">
        <v>499.99</v>
      </c>
      <c r="J200">
        <v>0</v>
      </c>
      <c r="K200" s="3">
        <v>-500</v>
      </c>
      <c r="L200" t="s">
        <v>49</v>
      </c>
      <c r="M200" t="s">
        <v>33</v>
      </c>
      <c r="N200">
        <v>1999.96</v>
      </c>
      <c r="O200">
        <f t="shared" si="9"/>
        <v>1999.96</v>
      </c>
      <c r="P200" t="str">
        <f t="shared" si="10"/>
        <v>01-1900</v>
      </c>
      <c r="Q200" t="str">
        <f t="shared" si="11"/>
        <v>Normal</v>
      </c>
    </row>
    <row r="201" spans="1:17" x14ac:dyDescent="0.3">
      <c r="A201" t="s">
        <v>308</v>
      </c>
      <c r="B201" s="5">
        <v>45337</v>
      </c>
      <c r="C201" t="s">
        <v>552</v>
      </c>
      <c r="D201" t="s">
        <v>44</v>
      </c>
      <c r="E201" t="s">
        <v>24</v>
      </c>
      <c r="F201" t="s">
        <v>25</v>
      </c>
      <c r="G201" t="s">
        <v>552</v>
      </c>
      <c r="H201">
        <v>1</v>
      </c>
      <c r="I201">
        <v>12999</v>
      </c>
      <c r="J201">
        <v>5</v>
      </c>
      <c r="K201" s="3">
        <v>499.99</v>
      </c>
      <c r="L201" t="s">
        <v>49</v>
      </c>
      <c r="M201" t="s">
        <v>16</v>
      </c>
      <c r="N201">
        <v>24699.05</v>
      </c>
      <c r="O201">
        <f t="shared" si="9"/>
        <v>12999</v>
      </c>
      <c r="P201" t="str">
        <f t="shared" si="10"/>
        <v>02-2024</v>
      </c>
      <c r="Q201" t="str">
        <f t="shared" si="11"/>
        <v>High</v>
      </c>
    </row>
    <row r="202" spans="1:17" x14ac:dyDescent="0.3">
      <c r="A202" t="s">
        <v>318</v>
      </c>
      <c r="B202" s="5">
        <v>45337</v>
      </c>
      <c r="C202" t="s">
        <v>22</v>
      </c>
      <c r="D202" t="s">
        <v>23</v>
      </c>
      <c r="E202" t="s">
        <v>552</v>
      </c>
      <c r="F202" t="s">
        <v>552</v>
      </c>
      <c r="G202" t="s">
        <v>552</v>
      </c>
      <c r="H202">
        <v>2</v>
      </c>
      <c r="I202">
        <v>7830.7177904328155</v>
      </c>
      <c r="J202">
        <v>10</v>
      </c>
      <c r="K202" s="3">
        <v>30000</v>
      </c>
      <c r="L202" t="s">
        <v>53</v>
      </c>
      <c r="M202" t="s">
        <v>30</v>
      </c>
      <c r="N202">
        <v>23492.153371298446</v>
      </c>
      <c r="O202">
        <f t="shared" si="9"/>
        <v>15661.435580865631</v>
      </c>
      <c r="P202" t="str">
        <f t="shared" si="10"/>
        <v>02-2024</v>
      </c>
      <c r="Q202" t="str">
        <f t="shared" si="11"/>
        <v>High</v>
      </c>
    </row>
    <row r="203" spans="1:17" x14ac:dyDescent="0.3">
      <c r="A203" t="s">
        <v>238</v>
      </c>
      <c r="C203" t="s">
        <v>32</v>
      </c>
      <c r="D203" t="s">
        <v>44</v>
      </c>
      <c r="E203" t="s">
        <v>552</v>
      </c>
      <c r="F203" t="s">
        <v>25</v>
      </c>
      <c r="G203" t="s">
        <v>28</v>
      </c>
      <c r="H203">
        <v>1</v>
      </c>
      <c r="I203">
        <v>799.5</v>
      </c>
      <c r="J203">
        <v>0</v>
      </c>
      <c r="K203" s="3">
        <v>0</v>
      </c>
      <c r="L203" t="s">
        <v>29</v>
      </c>
      <c r="M203" t="s">
        <v>552</v>
      </c>
      <c r="N203">
        <v>799.5</v>
      </c>
      <c r="O203">
        <f t="shared" si="9"/>
        <v>799.5</v>
      </c>
      <c r="P203" t="str">
        <f t="shared" si="10"/>
        <v>01-1900</v>
      </c>
      <c r="Q203" t="str">
        <f t="shared" si="11"/>
        <v>Normal</v>
      </c>
    </row>
    <row r="204" spans="1:17" x14ac:dyDescent="0.3">
      <c r="A204" t="s">
        <v>320</v>
      </c>
      <c r="B204" s="5">
        <v>45337</v>
      </c>
      <c r="C204" t="s">
        <v>22</v>
      </c>
      <c r="D204" t="s">
        <v>44</v>
      </c>
      <c r="E204" t="s">
        <v>18</v>
      </c>
      <c r="F204" t="s">
        <v>552</v>
      </c>
      <c r="G204" t="s">
        <v>552</v>
      </c>
      <c r="H204">
        <v>4</v>
      </c>
      <c r="I204">
        <v>25999</v>
      </c>
      <c r="J204">
        <v>15</v>
      </c>
      <c r="K204" s="3">
        <v>499.99</v>
      </c>
      <c r="L204" t="s">
        <v>39</v>
      </c>
      <c r="M204" t="s">
        <v>552</v>
      </c>
      <c r="N204">
        <v>23492.153371298446</v>
      </c>
      <c r="O204">
        <f t="shared" si="9"/>
        <v>103996</v>
      </c>
      <c r="P204" t="str">
        <f t="shared" si="10"/>
        <v>02-2024</v>
      </c>
      <c r="Q204" t="str">
        <f t="shared" si="11"/>
        <v>High</v>
      </c>
    </row>
    <row r="205" spans="1:17" x14ac:dyDescent="0.3">
      <c r="A205" t="s">
        <v>334</v>
      </c>
      <c r="B205" s="5">
        <v>45337</v>
      </c>
      <c r="C205" t="s">
        <v>27</v>
      </c>
      <c r="D205" t="s">
        <v>44</v>
      </c>
      <c r="E205" t="s">
        <v>24</v>
      </c>
      <c r="F205" t="s">
        <v>552</v>
      </c>
      <c r="G205" t="s">
        <v>60</v>
      </c>
      <c r="H205">
        <v>1</v>
      </c>
      <c r="I205">
        <v>12999</v>
      </c>
      <c r="J205">
        <v>0</v>
      </c>
      <c r="K205" s="3">
        <v>0</v>
      </c>
      <c r="L205" t="s">
        <v>49</v>
      </c>
      <c r="M205" t="s">
        <v>30</v>
      </c>
      <c r="N205">
        <v>23492.153371298446</v>
      </c>
      <c r="O205">
        <f t="shared" si="9"/>
        <v>12999</v>
      </c>
      <c r="P205" t="str">
        <f t="shared" si="10"/>
        <v>02-2024</v>
      </c>
      <c r="Q205" t="str">
        <f t="shared" si="11"/>
        <v>High</v>
      </c>
    </row>
    <row r="206" spans="1:17" x14ac:dyDescent="0.3">
      <c r="A206" t="s">
        <v>338</v>
      </c>
      <c r="B206" s="5">
        <v>45337</v>
      </c>
      <c r="C206" t="s">
        <v>552</v>
      </c>
      <c r="D206" t="s">
        <v>552</v>
      </c>
      <c r="E206" t="s">
        <v>552</v>
      </c>
      <c r="F206" t="s">
        <v>552</v>
      </c>
      <c r="G206" t="s">
        <v>28</v>
      </c>
      <c r="H206">
        <v>2</v>
      </c>
      <c r="I206">
        <v>25999</v>
      </c>
      <c r="J206">
        <v>0</v>
      </c>
      <c r="K206" s="3">
        <v>30000</v>
      </c>
      <c r="L206" t="s">
        <v>39</v>
      </c>
      <c r="M206" t="s">
        <v>30</v>
      </c>
      <c r="N206">
        <v>23492.153371298446</v>
      </c>
      <c r="O206">
        <f t="shared" si="9"/>
        <v>51998</v>
      </c>
      <c r="P206" t="str">
        <f t="shared" si="10"/>
        <v>02-2024</v>
      </c>
      <c r="Q206" t="str">
        <f t="shared" si="11"/>
        <v>High</v>
      </c>
    </row>
    <row r="207" spans="1:17" x14ac:dyDescent="0.3">
      <c r="A207" t="s">
        <v>242</v>
      </c>
      <c r="B207" s="5">
        <v>45306</v>
      </c>
      <c r="C207" t="s">
        <v>552</v>
      </c>
      <c r="D207" t="s">
        <v>552</v>
      </c>
      <c r="E207" t="s">
        <v>552</v>
      </c>
      <c r="F207" t="s">
        <v>25</v>
      </c>
      <c r="G207" t="s">
        <v>60</v>
      </c>
      <c r="H207">
        <v>4</v>
      </c>
      <c r="I207">
        <v>7830.7177904328155</v>
      </c>
      <c r="J207">
        <v>0</v>
      </c>
      <c r="K207" s="3">
        <v>15000</v>
      </c>
      <c r="L207" t="s">
        <v>552</v>
      </c>
      <c r="M207" t="s">
        <v>37</v>
      </c>
      <c r="N207">
        <v>31322.871161731262</v>
      </c>
      <c r="O207">
        <f t="shared" si="9"/>
        <v>31322.871161731262</v>
      </c>
      <c r="P207" t="str">
        <f t="shared" si="10"/>
        <v>01-2024</v>
      </c>
      <c r="Q207" t="str">
        <f t="shared" si="11"/>
        <v>High</v>
      </c>
    </row>
    <row r="208" spans="1:17" x14ac:dyDescent="0.3">
      <c r="A208" t="s">
        <v>368</v>
      </c>
      <c r="B208" s="5">
        <v>45337</v>
      </c>
      <c r="C208" t="s">
        <v>552</v>
      </c>
      <c r="D208" t="s">
        <v>552</v>
      </c>
      <c r="E208" t="s">
        <v>552</v>
      </c>
      <c r="F208" t="s">
        <v>552</v>
      </c>
      <c r="G208" t="s">
        <v>47</v>
      </c>
      <c r="H208">
        <v>1</v>
      </c>
      <c r="I208">
        <v>25999</v>
      </c>
      <c r="J208">
        <v>0</v>
      </c>
      <c r="K208" s="3">
        <v>30000</v>
      </c>
      <c r="L208" t="s">
        <v>552</v>
      </c>
      <c r="M208" t="s">
        <v>30</v>
      </c>
      <c r="N208">
        <v>22099.149999999998</v>
      </c>
      <c r="O208">
        <f t="shared" si="9"/>
        <v>25999</v>
      </c>
      <c r="P208" t="str">
        <f t="shared" si="10"/>
        <v>02-2024</v>
      </c>
      <c r="Q208" t="str">
        <f t="shared" si="11"/>
        <v>High</v>
      </c>
    </row>
    <row r="209" spans="1:17" x14ac:dyDescent="0.3">
      <c r="A209" t="s">
        <v>385</v>
      </c>
      <c r="B209" s="5">
        <v>45337</v>
      </c>
      <c r="C209" t="s">
        <v>552</v>
      </c>
      <c r="D209" t="s">
        <v>13</v>
      </c>
      <c r="E209" t="s">
        <v>552</v>
      </c>
      <c r="F209" t="s">
        <v>19</v>
      </c>
      <c r="G209" t="s">
        <v>15</v>
      </c>
      <c r="H209">
        <v>3</v>
      </c>
      <c r="I209">
        <v>12999</v>
      </c>
      <c r="J209">
        <v>15</v>
      </c>
      <c r="K209" s="3">
        <v>0</v>
      </c>
      <c r="L209" t="s">
        <v>39</v>
      </c>
      <c r="M209" t="s">
        <v>30</v>
      </c>
      <c r="N209">
        <v>22099.149999999998</v>
      </c>
      <c r="O209">
        <f t="shared" si="9"/>
        <v>38997</v>
      </c>
      <c r="P209" t="str">
        <f t="shared" si="10"/>
        <v>02-2024</v>
      </c>
      <c r="Q209" t="str">
        <f t="shared" si="11"/>
        <v>High</v>
      </c>
    </row>
    <row r="210" spans="1:17" x14ac:dyDescent="0.3">
      <c r="A210" t="s">
        <v>245</v>
      </c>
      <c r="C210" t="s">
        <v>552</v>
      </c>
      <c r="D210" t="s">
        <v>552</v>
      </c>
      <c r="E210" t="s">
        <v>18</v>
      </c>
      <c r="F210" t="s">
        <v>552</v>
      </c>
      <c r="G210" t="s">
        <v>15</v>
      </c>
      <c r="H210">
        <v>3</v>
      </c>
      <c r="I210">
        <v>799.5</v>
      </c>
      <c r="J210">
        <v>0</v>
      </c>
      <c r="K210" s="3">
        <v>15000</v>
      </c>
      <c r="L210" t="s">
        <v>49</v>
      </c>
      <c r="M210" t="s">
        <v>37</v>
      </c>
      <c r="N210">
        <v>2398.5</v>
      </c>
      <c r="O210">
        <f t="shared" si="9"/>
        <v>2398.5</v>
      </c>
      <c r="P210" t="str">
        <f t="shared" si="10"/>
        <v>01-1900</v>
      </c>
      <c r="Q210" t="str">
        <f t="shared" si="11"/>
        <v>Normal</v>
      </c>
    </row>
    <row r="211" spans="1:17" x14ac:dyDescent="0.3">
      <c r="A211" t="s">
        <v>429</v>
      </c>
      <c r="B211" s="5">
        <v>45337</v>
      </c>
      <c r="C211" t="s">
        <v>12</v>
      </c>
      <c r="D211" t="s">
        <v>13</v>
      </c>
      <c r="E211" t="s">
        <v>552</v>
      </c>
      <c r="F211" t="s">
        <v>552</v>
      </c>
      <c r="G211" t="s">
        <v>47</v>
      </c>
      <c r="H211">
        <v>1</v>
      </c>
      <c r="I211">
        <v>12999</v>
      </c>
      <c r="J211">
        <v>0</v>
      </c>
      <c r="K211" s="3">
        <v>15000</v>
      </c>
      <c r="L211" t="s">
        <v>39</v>
      </c>
      <c r="M211" t="s">
        <v>16</v>
      </c>
      <c r="N211">
        <v>15661.435580865631</v>
      </c>
      <c r="O211">
        <f t="shared" si="9"/>
        <v>12999</v>
      </c>
      <c r="P211" t="str">
        <f t="shared" si="10"/>
        <v>02-2024</v>
      </c>
      <c r="Q211" t="str">
        <f t="shared" si="11"/>
        <v>High</v>
      </c>
    </row>
    <row r="212" spans="1:17" x14ac:dyDescent="0.3">
      <c r="A212" t="s">
        <v>247</v>
      </c>
      <c r="B212" s="5">
        <v>45376</v>
      </c>
      <c r="C212" t="s">
        <v>27</v>
      </c>
      <c r="D212" t="s">
        <v>552</v>
      </c>
      <c r="E212" t="s">
        <v>552</v>
      </c>
      <c r="F212" t="s">
        <v>25</v>
      </c>
      <c r="G212" t="s">
        <v>20</v>
      </c>
      <c r="H212">
        <v>1</v>
      </c>
      <c r="I212">
        <v>7830.7177904328155</v>
      </c>
      <c r="J212">
        <v>0</v>
      </c>
      <c r="K212" s="3">
        <v>0</v>
      </c>
      <c r="L212" t="s">
        <v>29</v>
      </c>
      <c r="M212" t="s">
        <v>552</v>
      </c>
      <c r="N212">
        <v>7830.7177904328155</v>
      </c>
      <c r="O212">
        <f t="shared" si="9"/>
        <v>7830.7177904328155</v>
      </c>
      <c r="P212" t="str">
        <f t="shared" si="10"/>
        <v>03-2024</v>
      </c>
      <c r="Q212" t="str">
        <f t="shared" si="11"/>
        <v>Normal</v>
      </c>
    </row>
    <row r="213" spans="1:17" x14ac:dyDescent="0.3">
      <c r="A213" t="s">
        <v>248</v>
      </c>
      <c r="C213" t="s">
        <v>27</v>
      </c>
      <c r="D213" t="s">
        <v>44</v>
      </c>
      <c r="E213" t="s">
        <v>552</v>
      </c>
      <c r="F213" t="s">
        <v>552</v>
      </c>
      <c r="G213" t="s">
        <v>552</v>
      </c>
      <c r="H213">
        <v>1</v>
      </c>
      <c r="I213">
        <v>7830.7177904328155</v>
      </c>
      <c r="J213">
        <v>50</v>
      </c>
      <c r="K213" s="3">
        <v>499.99</v>
      </c>
      <c r="L213" t="s">
        <v>39</v>
      </c>
      <c r="M213" t="s">
        <v>37</v>
      </c>
      <c r="N213">
        <v>3915.3588952164077</v>
      </c>
      <c r="O213">
        <f t="shared" si="9"/>
        <v>7830.7177904328155</v>
      </c>
      <c r="P213" t="str">
        <f t="shared" si="10"/>
        <v>01-1900</v>
      </c>
      <c r="Q213" t="str">
        <f t="shared" si="11"/>
        <v>Normal</v>
      </c>
    </row>
    <row r="214" spans="1:17" x14ac:dyDescent="0.3">
      <c r="A214" t="s">
        <v>249</v>
      </c>
      <c r="C214" t="s">
        <v>552</v>
      </c>
      <c r="D214" t="s">
        <v>44</v>
      </c>
      <c r="E214" t="s">
        <v>552</v>
      </c>
      <c r="F214" t="s">
        <v>552</v>
      </c>
      <c r="G214" t="s">
        <v>552</v>
      </c>
      <c r="H214">
        <v>2</v>
      </c>
      <c r="I214">
        <v>499.99</v>
      </c>
      <c r="J214">
        <v>10</v>
      </c>
      <c r="K214" s="3">
        <v>30000</v>
      </c>
      <c r="L214" t="s">
        <v>49</v>
      </c>
      <c r="M214" t="s">
        <v>16</v>
      </c>
      <c r="N214">
        <v>899.98200000000008</v>
      </c>
      <c r="O214">
        <f t="shared" si="9"/>
        <v>999.98</v>
      </c>
      <c r="P214" t="str">
        <f t="shared" si="10"/>
        <v>01-1900</v>
      </c>
      <c r="Q214" t="str">
        <f t="shared" si="11"/>
        <v>Normal</v>
      </c>
    </row>
    <row r="215" spans="1:17" x14ac:dyDescent="0.3">
      <c r="A215" t="s">
        <v>250</v>
      </c>
      <c r="B215" s="5">
        <v>45376</v>
      </c>
      <c r="C215" t="s">
        <v>22</v>
      </c>
      <c r="D215" t="s">
        <v>23</v>
      </c>
      <c r="E215" t="s">
        <v>18</v>
      </c>
      <c r="F215" t="s">
        <v>552</v>
      </c>
      <c r="G215" t="s">
        <v>60</v>
      </c>
      <c r="H215">
        <v>4</v>
      </c>
      <c r="I215">
        <v>499.99</v>
      </c>
      <c r="J215">
        <v>0</v>
      </c>
      <c r="K215" s="3">
        <v>15000</v>
      </c>
      <c r="L215" t="s">
        <v>53</v>
      </c>
      <c r="M215" t="s">
        <v>16</v>
      </c>
      <c r="N215">
        <v>1999.96</v>
      </c>
      <c r="O215">
        <f t="shared" si="9"/>
        <v>1999.96</v>
      </c>
      <c r="P215" t="str">
        <f t="shared" si="10"/>
        <v>03-2024</v>
      </c>
      <c r="Q215" t="str">
        <f t="shared" si="11"/>
        <v>Normal</v>
      </c>
    </row>
    <row r="216" spans="1:17" x14ac:dyDescent="0.3">
      <c r="A216" t="s">
        <v>251</v>
      </c>
      <c r="C216" t="s">
        <v>32</v>
      </c>
      <c r="D216" t="s">
        <v>44</v>
      </c>
      <c r="E216" t="s">
        <v>552</v>
      </c>
      <c r="F216" t="s">
        <v>14</v>
      </c>
      <c r="G216" t="s">
        <v>15</v>
      </c>
      <c r="H216">
        <v>1</v>
      </c>
      <c r="I216">
        <v>7830.7177904328155</v>
      </c>
      <c r="J216">
        <v>15</v>
      </c>
      <c r="K216" s="3">
        <v>499.99</v>
      </c>
      <c r="L216" t="s">
        <v>49</v>
      </c>
      <c r="M216" t="s">
        <v>30</v>
      </c>
      <c r="N216">
        <v>6656.1101218678932</v>
      </c>
      <c r="O216">
        <f t="shared" si="9"/>
        <v>7830.7177904328155</v>
      </c>
      <c r="P216" t="str">
        <f t="shared" si="10"/>
        <v>01-1900</v>
      </c>
      <c r="Q216" t="str">
        <f t="shared" si="11"/>
        <v>Normal</v>
      </c>
    </row>
    <row r="217" spans="1:17" x14ac:dyDescent="0.3">
      <c r="A217" t="s">
        <v>252</v>
      </c>
      <c r="C217" t="s">
        <v>552</v>
      </c>
      <c r="D217" t="s">
        <v>52</v>
      </c>
      <c r="E217" t="s">
        <v>552</v>
      </c>
      <c r="F217" t="s">
        <v>19</v>
      </c>
      <c r="G217" t="s">
        <v>47</v>
      </c>
      <c r="H217">
        <v>1</v>
      </c>
      <c r="I217">
        <v>799.5</v>
      </c>
      <c r="J217">
        <v>15</v>
      </c>
      <c r="K217" s="3">
        <v>0</v>
      </c>
      <c r="L217" t="s">
        <v>53</v>
      </c>
      <c r="M217" t="s">
        <v>16</v>
      </c>
      <c r="N217">
        <v>679.57499999999993</v>
      </c>
      <c r="O217">
        <f t="shared" si="9"/>
        <v>799.5</v>
      </c>
      <c r="P217" t="str">
        <f t="shared" si="10"/>
        <v>01-1900</v>
      </c>
      <c r="Q217" t="str">
        <f t="shared" si="11"/>
        <v>Normal</v>
      </c>
    </row>
    <row r="218" spans="1:17" x14ac:dyDescent="0.3">
      <c r="A218" t="s">
        <v>253</v>
      </c>
      <c r="C218" t="s">
        <v>552</v>
      </c>
      <c r="D218" t="s">
        <v>23</v>
      </c>
      <c r="E218" t="s">
        <v>18</v>
      </c>
      <c r="F218" t="s">
        <v>14</v>
      </c>
      <c r="G218" t="s">
        <v>60</v>
      </c>
      <c r="H218">
        <v>1</v>
      </c>
      <c r="I218">
        <v>7830.7177904328155</v>
      </c>
      <c r="J218">
        <v>5</v>
      </c>
      <c r="K218" s="3">
        <v>0</v>
      </c>
      <c r="L218" t="s">
        <v>29</v>
      </c>
      <c r="M218" t="s">
        <v>33</v>
      </c>
      <c r="N218">
        <v>7439.1819009111741</v>
      </c>
      <c r="O218">
        <f t="shared" si="9"/>
        <v>7830.7177904328155</v>
      </c>
      <c r="P218" t="str">
        <f t="shared" si="10"/>
        <v>01-1900</v>
      </c>
      <c r="Q218" t="str">
        <f t="shared" si="11"/>
        <v>Normal</v>
      </c>
    </row>
    <row r="219" spans="1:17" x14ac:dyDescent="0.3">
      <c r="A219" t="s">
        <v>254</v>
      </c>
      <c r="C219" t="s">
        <v>32</v>
      </c>
      <c r="D219" t="s">
        <v>23</v>
      </c>
      <c r="E219" t="s">
        <v>24</v>
      </c>
      <c r="F219" t="s">
        <v>552</v>
      </c>
      <c r="G219" t="s">
        <v>28</v>
      </c>
      <c r="H219">
        <v>1</v>
      </c>
      <c r="I219">
        <v>7830.7177904328155</v>
      </c>
      <c r="J219">
        <v>5</v>
      </c>
      <c r="K219" s="3">
        <v>-500</v>
      </c>
      <c r="L219" t="s">
        <v>29</v>
      </c>
      <c r="M219" t="s">
        <v>37</v>
      </c>
      <c r="N219">
        <v>7439.1819009111741</v>
      </c>
      <c r="O219">
        <f t="shared" si="9"/>
        <v>7830.7177904328155</v>
      </c>
      <c r="P219" t="str">
        <f t="shared" si="10"/>
        <v>01-1900</v>
      </c>
      <c r="Q219" t="str">
        <f t="shared" si="11"/>
        <v>Normal</v>
      </c>
    </row>
    <row r="220" spans="1:17" x14ac:dyDescent="0.3">
      <c r="A220" t="s">
        <v>437</v>
      </c>
      <c r="B220" s="5">
        <v>45337</v>
      </c>
      <c r="C220" t="s">
        <v>552</v>
      </c>
      <c r="D220" t="s">
        <v>552</v>
      </c>
      <c r="E220" t="s">
        <v>24</v>
      </c>
      <c r="F220" t="s">
        <v>552</v>
      </c>
      <c r="G220" t="s">
        <v>552</v>
      </c>
      <c r="H220">
        <v>3</v>
      </c>
      <c r="I220">
        <v>12999</v>
      </c>
      <c r="J220">
        <v>0</v>
      </c>
      <c r="K220" s="3">
        <v>0</v>
      </c>
      <c r="L220" t="s">
        <v>53</v>
      </c>
      <c r="M220" t="s">
        <v>552</v>
      </c>
      <c r="N220">
        <v>15661.435580865631</v>
      </c>
      <c r="O220">
        <f t="shared" si="9"/>
        <v>38997</v>
      </c>
      <c r="P220" t="str">
        <f t="shared" si="10"/>
        <v>02-2024</v>
      </c>
      <c r="Q220" t="str">
        <f t="shared" si="11"/>
        <v>High</v>
      </c>
    </row>
    <row r="221" spans="1:17" x14ac:dyDescent="0.3">
      <c r="A221" t="s">
        <v>450</v>
      </c>
      <c r="B221" s="5">
        <v>45337</v>
      </c>
      <c r="C221" t="s">
        <v>552</v>
      </c>
      <c r="D221" t="s">
        <v>44</v>
      </c>
      <c r="E221" t="s">
        <v>552</v>
      </c>
      <c r="F221" t="s">
        <v>552</v>
      </c>
      <c r="G221" t="s">
        <v>20</v>
      </c>
      <c r="H221">
        <v>2</v>
      </c>
      <c r="I221">
        <v>25999</v>
      </c>
      <c r="J221">
        <v>5</v>
      </c>
      <c r="K221" s="3">
        <v>30000</v>
      </c>
      <c r="L221" t="s">
        <v>49</v>
      </c>
      <c r="M221" t="s">
        <v>552</v>
      </c>
      <c r="N221">
        <v>14878.363801822348</v>
      </c>
      <c r="O221">
        <f t="shared" si="9"/>
        <v>51998</v>
      </c>
      <c r="P221" t="str">
        <f t="shared" si="10"/>
        <v>02-2024</v>
      </c>
      <c r="Q221" t="str">
        <f t="shared" si="11"/>
        <v>High</v>
      </c>
    </row>
    <row r="222" spans="1:17" x14ac:dyDescent="0.3">
      <c r="A222" t="s">
        <v>456</v>
      </c>
      <c r="B222" s="5">
        <v>45337</v>
      </c>
      <c r="C222" t="s">
        <v>32</v>
      </c>
      <c r="D222" t="s">
        <v>13</v>
      </c>
      <c r="E222" t="s">
        <v>552</v>
      </c>
      <c r="F222" t="s">
        <v>14</v>
      </c>
      <c r="G222" t="s">
        <v>15</v>
      </c>
      <c r="H222">
        <v>1</v>
      </c>
      <c r="I222">
        <v>12999</v>
      </c>
      <c r="J222">
        <v>5</v>
      </c>
      <c r="K222" s="3">
        <v>-500</v>
      </c>
      <c r="L222" t="s">
        <v>552</v>
      </c>
      <c r="M222" t="s">
        <v>30</v>
      </c>
      <c r="N222">
        <v>14095.292022779067</v>
      </c>
      <c r="O222">
        <f t="shared" si="9"/>
        <v>12999</v>
      </c>
      <c r="P222" t="str">
        <f t="shared" si="10"/>
        <v>02-2024</v>
      </c>
      <c r="Q222" t="str">
        <f t="shared" si="11"/>
        <v>High</v>
      </c>
    </row>
    <row r="223" spans="1:17" x14ac:dyDescent="0.3">
      <c r="A223" t="s">
        <v>258</v>
      </c>
      <c r="B223" s="5">
        <v>45337</v>
      </c>
      <c r="C223" t="s">
        <v>552</v>
      </c>
      <c r="D223" t="s">
        <v>44</v>
      </c>
      <c r="E223" t="s">
        <v>36</v>
      </c>
      <c r="F223" t="s">
        <v>552</v>
      </c>
      <c r="G223" t="s">
        <v>552</v>
      </c>
      <c r="H223">
        <v>1</v>
      </c>
      <c r="I223">
        <v>25999</v>
      </c>
      <c r="J223">
        <v>15</v>
      </c>
      <c r="K223" s="3">
        <v>-500</v>
      </c>
      <c r="L223" t="s">
        <v>53</v>
      </c>
      <c r="M223" t="s">
        <v>37</v>
      </c>
      <c r="N223">
        <v>22099.149999999998</v>
      </c>
      <c r="O223">
        <f t="shared" si="9"/>
        <v>25999</v>
      </c>
      <c r="P223" t="str">
        <f t="shared" si="10"/>
        <v>02-2024</v>
      </c>
      <c r="Q223" t="str">
        <f t="shared" si="11"/>
        <v>High</v>
      </c>
    </row>
    <row r="224" spans="1:17" x14ac:dyDescent="0.3">
      <c r="A224" t="s">
        <v>259</v>
      </c>
      <c r="C224" t="s">
        <v>552</v>
      </c>
      <c r="D224" t="s">
        <v>44</v>
      </c>
      <c r="E224" t="s">
        <v>36</v>
      </c>
      <c r="F224" t="s">
        <v>19</v>
      </c>
      <c r="G224" t="s">
        <v>552</v>
      </c>
      <c r="H224">
        <v>1</v>
      </c>
      <c r="I224">
        <v>7830.7177904328155</v>
      </c>
      <c r="J224">
        <v>0</v>
      </c>
      <c r="K224" s="3">
        <v>0</v>
      </c>
      <c r="L224" t="s">
        <v>29</v>
      </c>
      <c r="M224" t="s">
        <v>552</v>
      </c>
      <c r="N224">
        <v>7830.7177904328155</v>
      </c>
      <c r="O224">
        <f t="shared" si="9"/>
        <v>7830.7177904328155</v>
      </c>
      <c r="P224" t="str">
        <f t="shared" si="10"/>
        <v>01-1900</v>
      </c>
      <c r="Q224" t="str">
        <f t="shared" si="11"/>
        <v>Normal</v>
      </c>
    </row>
    <row r="225" spans="1:17" x14ac:dyDescent="0.3">
      <c r="A225" t="s">
        <v>260</v>
      </c>
      <c r="C225" t="s">
        <v>32</v>
      </c>
      <c r="D225" t="s">
        <v>44</v>
      </c>
      <c r="E225" t="s">
        <v>552</v>
      </c>
      <c r="F225" t="s">
        <v>552</v>
      </c>
      <c r="G225" t="s">
        <v>15</v>
      </c>
      <c r="H225">
        <v>1</v>
      </c>
      <c r="I225">
        <v>7830.7177904328155</v>
      </c>
      <c r="J225">
        <v>50</v>
      </c>
      <c r="K225" s="3">
        <v>0</v>
      </c>
      <c r="L225" t="s">
        <v>552</v>
      </c>
      <c r="M225" t="s">
        <v>30</v>
      </c>
      <c r="N225">
        <v>3915.3588952164077</v>
      </c>
      <c r="O225">
        <f t="shared" si="9"/>
        <v>7830.7177904328155</v>
      </c>
      <c r="P225" t="str">
        <f t="shared" si="10"/>
        <v>01-1900</v>
      </c>
      <c r="Q225" t="str">
        <f t="shared" si="11"/>
        <v>Normal</v>
      </c>
    </row>
    <row r="226" spans="1:17" x14ac:dyDescent="0.3">
      <c r="A226" t="s">
        <v>261</v>
      </c>
      <c r="B226" s="5">
        <v>45306</v>
      </c>
      <c r="C226" t="s">
        <v>32</v>
      </c>
      <c r="D226" t="s">
        <v>552</v>
      </c>
      <c r="E226" t="s">
        <v>552</v>
      </c>
      <c r="F226" t="s">
        <v>19</v>
      </c>
      <c r="G226" t="s">
        <v>20</v>
      </c>
      <c r="H226">
        <v>3</v>
      </c>
      <c r="I226">
        <v>799.5</v>
      </c>
      <c r="J226">
        <v>5</v>
      </c>
      <c r="K226" s="3">
        <v>499.99</v>
      </c>
      <c r="L226" t="s">
        <v>552</v>
      </c>
      <c r="M226" t="s">
        <v>552</v>
      </c>
      <c r="N226">
        <v>2278.5749999999998</v>
      </c>
      <c r="O226">
        <f t="shared" si="9"/>
        <v>2398.5</v>
      </c>
      <c r="P226" t="str">
        <f t="shared" si="10"/>
        <v>01-2024</v>
      </c>
      <c r="Q226" t="str">
        <f t="shared" si="11"/>
        <v>Normal</v>
      </c>
    </row>
    <row r="227" spans="1:17" x14ac:dyDescent="0.3">
      <c r="A227" t="s">
        <v>262</v>
      </c>
      <c r="C227" t="s">
        <v>552</v>
      </c>
      <c r="D227" t="s">
        <v>44</v>
      </c>
      <c r="E227" t="s">
        <v>552</v>
      </c>
      <c r="F227" t="s">
        <v>552</v>
      </c>
      <c r="G227" t="s">
        <v>20</v>
      </c>
      <c r="H227">
        <v>4</v>
      </c>
      <c r="I227">
        <v>499.99</v>
      </c>
      <c r="J227">
        <v>10</v>
      </c>
      <c r="K227" s="3">
        <v>30000</v>
      </c>
      <c r="L227" t="s">
        <v>39</v>
      </c>
      <c r="M227" t="s">
        <v>30</v>
      </c>
      <c r="N227">
        <v>1799.9640000000002</v>
      </c>
      <c r="O227">
        <f t="shared" si="9"/>
        <v>1999.96</v>
      </c>
      <c r="P227" t="str">
        <f t="shared" si="10"/>
        <v>01-1900</v>
      </c>
      <c r="Q227" t="str">
        <f t="shared" si="11"/>
        <v>Normal</v>
      </c>
    </row>
    <row r="228" spans="1:17" x14ac:dyDescent="0.3">
      <c r="A228" t="s">
        <v>263</v>
      </c>
      <c r="B228" s="5">
        <v>45306</v>
      </c>
      <c r="C228" t="s">
        <v>12</v>
      </c>
      <c r="D228" t="s">
        <v>44</v>
      </c>
      <c r="E228" t="s">
        <v>552</v>
      </c>
      <c r="F228" t="s">
        <v>552</v>
      </c>
      <c r="G228" t="s">
        <v>47</v>
      </c>
      <c r="H228">
        <v>1</v>
      </c>
      <c r="I228">
        <v>7830.7177904328155</v>
      </c>
      <c r="J228">
        <v>10</v>
      </c>
      <c r="K228" s="3">
        <v>0</v>
      </c>
      <c r="L228" t="s">
        <v>39</v>
      </c>
      <c r="M228" t="s">
        <v>552</v>
      </c>
      <c r="N228">
        <v>7047.6460113895337</v>
      </c>
      <c r="O228">
        <f t="shared" si="9"/>
        <v>7830.7177904328155</v>
      </c>
      <c r="P228" t="str">
        <f t="shared" si="10"/>
        <v>01-2024</v>
      </c>
      <c r="Q228" t="str">
        <f t="shared" si="11"/>
        <v>Normal</v>
      </c>
    </row>
    <row r="229" spans="1:17" x14ac:dyDescent="0.3">
      <c r="A229" t="s">
        <v>464</v>
      </c>
      <c r="B229" s="5">
        <v>45337</v>
      </c>
      <c r="C229" t="s">
        <v>552</v>
      </c>
      <c r="D229" t="s">
        <v>552</v>
      </c>
      <c r="E229" t="s">
        <v>552</v>
      </c>
      <c r="F229" t="s">
        <v>19</v>
      </c>
      <c r="G229" t="s">
        <v>47</v>
      </c>
      <c r="H229">
        <v>1</v>
      </c>
      <c r="I229">
        <v>12999</v>
      </c>
      <c r="J229">
        <v>15</v>
      </c>
      <c r="K229" s="3">
        <v>30000</v>
      </c>
      <c r="L229" t="s">
        <v>49</v>
      </c>
      <c r="M229" t="s">
        <v>30</v>
      </c>
      <c r="N229">
        <v>13312.220243735786</v>
      </c>
      <c r="O229">
        <f t="shared" si="9"/>
        <v>12999</v>
      </c>
      <c r="P229" t="str">
        <f t="shared" si="10"/>
        <v>02-2024</v>
      </c>
      <c r="Q229" t="str">
        <f t="shared" si="11"/>
        <v>High</v>
      </c>
    </row>
    <row r="230" spans="1:17" x14ac:dyDescent="0.3">
      <c r="A230" t="s">
        <v>265</v>
      </c>
      <c r="C230" t="s">
        <v>32</v>
      </c>
      <c r="D230" t="s">
        <v>52</v>
      </c>
      <c r="E230" t="s">
        <v>18</v>
      </c>
      <c r="F230" t="s">
        <v>19</v>
      </c>
      <c r="G230" t="s">
        <v>28</v>
      </c>
      <c r="H230">
        <v>1</v>
      </c>
      <c r="I230">
        <v>7830.7177904328155</v>
      </c>
      <c r="J230">
        <v>0</v>
      </c>
      <c r="K230" s="3">
        <v>499.99</v>
      </c>
      <c r="L230" t="s">
        <v>39</v>
      </c>
      <c r="M230" t="s">
        <v>552</v>
      </c>
      <c r="N230">
        <v>7830.7177904328155</v>
      </c>
      <c r="O230">
        <f t="shared" si="9"/>
        <v>7830.7177904328155</v>
      </c>
      <c r="P230" t="str">
        <f t="shared" si="10"/>
        <v>01-1900</v>
      </c>
      <c r="Q230" t="str">
        <f t="shared" si="11"/>
        <v>Normal</v>
      </c>
    </row>
    <row r="231" spans="1:17" x14ac:dyDescent="0.3">
      <c r="A231" t="s">
        <v>266</v>
      </c>
      <c r="B231" s="5">
        <v>45337</v>
      </c>
      <c r="C231" t="s">
        <v>27</v>
      </c>
      <c r="D231" t="s">
        <v>13</v>
      </c>
      <c r="E231" t="s">
        <v>552</v>
      </c>
      <c r="F231" t="s">
        <v>14</v>
      </c>
      <c r="G231" t="s">
        <v>20</v>
      </c>
      <c r="H231">
        <v>1</v>
      </c>
      <c r="I231">
        <v>7830.7177904328155</v>
      </c>
      <c r="J231">
        <v>5</v>
      </c>
      <c r="K231" s="3">
        <v>30000</v>
      </c>
      <c r="L231" t="s">
        <v>29</v>
      </c>
      <c r="M231" t="s">
        <v>552</v>
      </c>
      <c r="N231">
        <v>7439.1819009111741</v>
      </c>
      <c r="O231">
        <f t="shared" si="9"/>
        <v>7830.7177904328155</v>
      </c>
      <c r="P231" t="str">
        <f t="shared" si="10"/>
        <v>02-2024</v>
      </c>
      <c r="Q231" t="str">
        <f t="shared" si="11"/>
        <v>Normal</v>
      </c>
    </row>
    <row r="232" spans="1:17" x14ac:dyDescent="0.3">
      <c r="A232" t="s">
        <v>465</v>
      </c>
      <c r="B232" s="5">
        <v>45337</v>
      </c>
      <c r="C232" t="s">
        <v>22</v>
      </c>
      <c r="D232" t="s">
        <v>552</v>
      </c>
      <c r="E232" t="s">
        <v>552</v>
      </c>
      <c r="F232" t="s">
        <v>552</v>
      </c>
      <c r="G232" t="s">
        <v>20</v>
      </c>
      <c r="H232">
        <v>3</v>
      </c>
      <c r="I232">
        <v>25999</v>
      </c>
      <c r="J232">
        <v>15</v>
      </c>
      <c r="K232" s="3">
        <v>30000</v>
      </c>
      <c r="L232" t="s">
        <v>49</v>
      </c>
      <c r="M232" t="s">
        <v>30</v>
      </c>
      <c r="N232">
        <v>13312.220243735786</v>
      </c>
      <c r="O232">
        <f t="shared" si="9"/>
        <v>77997</v>
      </c>
      <c r="P232" t="str">
        <f t="shared" si="10"/>
        <v>02-2024</v>
      </c>
      <c r="Q232" t="str">
        <f t="shared" si="11"/>
        <v>High</v>
      </c>
    </row>
    <row r="233" spans="1:17" x14ac:dyDescent="0.3">
      <c r="A233" t="s">
        <v>466</v>
      </c>
      <c r="B233" s="5">
        <v>45337</v>
      </c>
      <c r="C233" t="s">
        <v>552</v>
      </c>
      <c r="D233" t="s">
        <v>23</v>
      </c>
      <c r="E233" t="s">
        <v>552</v>
      </c>
      <c r="F233" t="s">
        <v>14</v>
      </c>
      <c r="G233" t="s">
        <v>47</v>
      </c>
      <c r="H233">
        <v>4</v>
      </c>
      <c r="I233">
        <v>12999</v>
      </c>
      <c r="J233">
        <v>0</v>
      </c>
      <c r="K233" s="3">
        <v>30000</v>
      </c>
      <c r="L233" t="s">
        <v>29</v>
      </c>
      <c r="M233" t="s">
        <v>552</v>
      </c>
      <c r="N233">
        <v>12999.5</v>
      </c>
      <c r="O233">
        <f t="shared" si="9"/>
        <v>51996</v>
      </c>
      <c r="P233" t="str">
        <f t="shared" si="10"/>
        <v>02-2024</v>
      </c>
      <c r="Q233" t="str">
        <f t="shared" si="11"/>
        <v>High</v>
      </c>
    </row>
    <row r="234" spans="1:17" x14ac:dyDescent="0.3">
      <c r="A234" t="s">
        <v>487</v>
      </c>
      <c r="B234" s="5">
        <v>45337</v>
      </c>
      <c r="C234" t="s">
        <v>27</v>
      </c>
      <c r="D234" t="s">
        <v>44</v>
      </c>
      <c r="E234" t="s">
        <v>552</v>
      </c>
      <c r="F234" t="s">
        <v>19</v>
      </c>
      <c r="G234" t="s">
        <v>552</v>
      </c>
      <c r="H234">
        <v>4</v>
      </c>
      <c r="I234">
        <v>12999</v>
      </c>
      <c r="J234">
        <v>0</v>
      </c>
      <c r="K234" s="3">
        <v>30000</v>
      </c>
      <c r="L234" t="s">
        <v>29</v>
      </c>
      <c r="M234" t="s">
        <v>33</v>
      </c>
      <c r="N234">
        <v>12999</v>
      </c>
      <c r="O234">
        <f t="shared" si="9"/>
        <v>51996</v>
      </c>
      <c r="P234" t="str">
        <f t="shared" si="10"/>
        <v>02-2024</v>
      </c>
      <c r="Q234" t="str">
        <f t="shared" si="11"/>
        <v>High</v>
      </c>
    </row>
    <row r="235" spans="1:17" x14ac:dyDescent="0.3">
      <c r="A235" t="s">
        <v>505</v>
      </c>
      <c r="B235" s="5">
        <v>45337</v>
      </c>
      <c r="C235" t="s">
        <v>12</v>
      </c>
      <c r="D235" t="s">
        <v>23</v>
      </c>
      <c r="E235" t="s">
        <v>18</v>
      </c>
      <c r="F235" t="s">
        <v>552</v>
      </c>
      <c r="G235" t="s">
        <v>552</v>
      </c>
      <c r="H235">
        <v>3</v>
      </c>
      <c r="I235">
        <v>7830.7177904328155</v>
      </c>
      <c r="J235">
        <v>0</v>
      </c>
      <c r="K235" s="3">
        <v>499.99</v>
      </c>
      <c r="L235" t="s">
        <v>552</v>
      </c>
      <c r="M235" t="s">
        <v>33</v>
      </c>
      <c r="N235">
        <v>12349.05</v>
      </c>
      <c r="O235">
        <f t="shared" si="9"/>
        <v>23492.153371298446</v>
      </c>
      <c r="P235" t="str">
        <f t="shared" si="10"/>
        <v>02-2024</v>
      </c>
      <c r="Q235" t="str">
        <f t="shared" si="11"/>
        <v>High</v>
      </c>
    </row>
    <row r="236" spans="1:17" x14ac:dyDescent="0.3">
      <c r="A236" t="s">
        <v>507</v>
      </c>
      <c r="B236" s="5">
        <v>45337</v>
      </c>
      <c r="C236" t="s">
        <v>552</v>
      </c>
      <c r="D236" t="s">
        <v>52</v>
      </c>
      <c r="E236" t="s">
        <v>36</v>
      </c>
      <c r="F236" t="s">
        <v>19</v>
      </c>
      <c r="G236" t="s">
        <v>28</v>
      </c>
      <c r="H236">
        <v>2</v>
      </c>
      <c r="I236">
        <v>7830.7177904328155</v>
      </c>
      <c r="J236">
        <v>15</v>
      </c>
      <c r="K236" s="3">
        <v>499.99</v>
      </c>
      <c r="L236" t="s">
        <v>53</v>
      </c>
      <c r="M236" t="s">
        <v>552</v>
      </c>
      <c r="N236">
        <v>12349.05</v>
      </c>
      <c r="O236">
        <f t="shared" si="9"/>
        <v>15661.435580865631</v>
      </c>
      <c r="P236" t="str">
        <f t="shared" si="10"/>
        <v>02-2024</v>
      </c>
      <c r="Q236" t="str">
        <f t="shared" si="11"/>
        <v>High</v>
      </c>
    </row>
    <row r="237" spans="1:17" x14ac:dyDescent="0.3">
      <c r="A237" t="s">
        <v>519</v>
      </c>
      <c r="B237" s="5">
        <v>45337</v>
      </c>
      <c r="C237" t="s">
        <v>27</v>
      </c>
      <c r="D237" t="s">
        <v>552</v>
      </c>
      <c r="E237" t="s">
        <v>24</v>
      </c>
      <c r="F237" t="s">
        <v>552</v>
      </c>
      <c r="G237" t="s">
        <v>15</v>
      </c>
      <c r="H237">
        <v>3</v>
      </c>
      <c r="I237">
        <v>7830.7177904328155</v>
      </c>
      <c r="J237">
        <v>0</v>
      </c>
      <c r="K237" s="3">
        <v>0</v>
      </c>
      <c r="L237" t="s">
        <v>39</v>
      </c>
      <c r="M237" t="s">
        <v>552</v>
      </c>
      <c r="N237">
        <v>11746.076685649223</v>
      </c>
      <c r="O237">
        <f t="shared" si="9"/>
        <v>23492.153371298446</v>
      </c>
      <c r="P237" t="str">
        <f t="shared" si="10"/>
        <v>02-2024</v>
      </c>
      <c r="Q237" t="str">
        <f t="shared" si="11"/>
        <v>High</v>
      </c>
    </row>
    <row r="238" spans="1:17" x14ac:dyDescent="0.3">
      <c r="A238" t="s">
        <v>273</v>
      </c>
      <c r="B238" s="5">
        <v>45306</v>
      </c>
      <c r="C238" t="s">
        <v>32</v>
      </c>
      <c r="D238" t="s">
        <v>52</v>
      </c>
      <c r="E238" t="s">
        <v>24</v>
      </c>
      <c r="F238" t="s">
        <v>19</v>
      </c>
      <c r="G238" t="s">
        <v>60</v>
      </c>
      <c r="H238">
        <v>1</v>
      </c>
      <c r="I238">
        <v>799.5</v>
      </c>
      <c r="J238">
        <v>0</v>
      </c>
      <c r="K238" s="3">
        <v>-500</v>
      </c>
      <c r="L238" t="s">
        <v>552</v>
      </c>
      <c r="M238" t="s">
        <v>37</v>
      </c>
      <c r="N238">
        <v>799.5</v>
      </c>
      <c r="O238">
        <f t="shared" si="9"/>
        <v>799.5</v>
      </c>
      <c r="P238" t="str">
        <f t="shared" si="10"/>
        <v>01-2024</v>
      </c>
      <c r="Q238" t="str">
        <f t="shared" si="11"/>
        <v>Normal</v>
      </c>
    </row>
    <row r="239" spans="1:17" x14ac:dyDescent="0.3">
      <c r="A239" t="s">
        <v>274</v>
      </c>
      <c r="B239" s="5">
        <v>45376</v>
      </c>
      <c r="C239" t="s">
        <v>12</v>
      </c>
      <c r="D239" t="s">
        <v>23</v>
      </c>
      <c r="E239" t="s">
        <v>552</v>
      </c>
      <c r="F239" t="s">
        <v>552</v>
      </c>
      <c r="G239" t="s">
        <v>28</v>
      </c>
      <c r="H239">
        <v>1</v>
      </c>
      <c r="I239">
        <v>799.5</v>
      </c>
      <c r="J239">
        <v>5</v>
      </c>
      <c r="K239" s="3">
        <v>30000</v>
      </c>
      <c r="L239" t="s">
        <v>29</v>
      </c>
      <c r="M239" t="s">
        <v>33</v>
      </c>
      <c r="N239">
        <v>759.52499999999998</v>
      </c>
      <c r="O239">
        <f t="shared" si="9"/>
        <v>799.5</v>
      </c>
      <c r="P239" t="str">
        <f t="shared" si="10"/>
        <v>03-2024</v>
      </c>
      <c r="Q239" t="str">
        <f t="shared" si="11"/>
        <v>Normal</v>
      </c>
    </row>
    <row r="240" spans="1:17" x14ac:dyDescent="0.3">
      <c r="A240" t="s">
        <v>275</v>
      </c>
      <c r="C240" t="s">
        <v>12</v>
      </c>
      <c r="D240" t="s">
        <v>23</v>
      </c>
      <c r="E240" t="s">
        <v>18</v>
      </c>
      <c r="F240" t="s">
        <v>552</v>
      </c>
      <c r="G240" t="s">
        <v>60</v>
      </c>
      <c r="H240">
        <v>1</v>
      </c>
      <c r="I240">
        <v>12999</v>
      </c>
      <c r="J240">
        <v>50</v>
      </c>
      <c r="K240" s="3">
        <v>15000</v>
      </c>
      <c r="L240" t="s">
        <v>53</v>
      </c>
      <c r="M240" t="s">
        <v>16</v>
      </c>
      <c r="N240">
        <v>6499.5</v>
      </c>
      <c r="O240">
        <f t="shared" si="9"/>
        <v>12999</v>
      </c>
      <c r="P240" t="str">
        <f t="shared" si="10"/>
        <v>01-1900</v>
      </c>
      <c r="Q240" t="str">
        <f t="shared" si="11"/>
        <v>Normal</v>
      </c>
    </row>
    <row r="241" spans="1:17" x14ac:dyDescent="0.3">
      <c r="A241" t="s">
        <v>276</v>
      </c>
      <c r="C241" t="s">
        <v>552</v>
      </c>
      <c r="D241" t="s">
        <v>552</v>
      </c>
      <c r="E241" t="s">
        <v>552</v>
      </c>
      <c r="F241" t="s">
        <v>552</v>
      </c>
      <c r="G241" t="s">
        <v>47</v>
      </c>
      <c r="H241">
        <v>1</v>
      </c>
      <c r="I241">
        <v>7830.7177904328155</v>
      </c>
      <c r="J241">
        <v>5</v>
      </c>
      <c r="K241" s="3">
        <v>499.99</v>
      </c>
      <c r="L241" t="s">
        <v>39</v>
      </c>
      <c r="M241" t="s">
        <v>16</v>
      </c>
      <c r="N241">
        <v>7439.1819009111741</v>
      </c>
      <c r="O241">
        <f t="shared" si="9"/>
        <v>7830.7177904328155</v>
      </c>
      <c r="P241" t="str">
        <f t="shared" si="10"/>
        <v>01-1900</v>
      </c>
      <c r="Q241" t="str">
        <f t="shared" si="11"/>
        <v>Normal</v>
      </c>
    </row>
    <row r="242" spans="1:17" x14ac:dyDescent="0.3">
      <c r="A242" t="s">
        <v>277</v>
      </c>
      <c r="C242" t="s">
        <v>12</v>
      </c>
      <c r="D242" t="s">
        <v>13</v>
      </c>
      <c r="E242" t="s">
        <v>24</v>
      </c>
      <c r="F242" t="s">
        <v>19</v>
      </c>
      <c r="G242" t="s">
        <v>552</v>
      </c>
      <c r="H242">
        <v>1</v>
      </c>
      <c r="I242">
        <v>499.99</v>
      </c>
      <c r="J242">
        <v>0</v>
      </c>
      <c r="K242" s="3">
        <v>30000</v>
      </c>
      <c r="L242" t="s">
        <v>49</v>
      </c>
      <c r="M242" t="s">
        <v>552</v>
      </c>
      <c r="N242">
        <v>499.99</v>
      </c>
      <c r="O242">
        <f t="shared" si="9"/>
        <v>499.99</v>
      </c>
      <c r="P242" t="str">
        <f t="shared" si="10"/>
        <v>01-1900</v>
      </c>
      <c r="Q242" t="str">
        <f t="shared" si="11"/>
        <v>Normal</v>
      </c>
    </row>
    <row r="243" spans="1:17" x14ac:dyDescent="0.3">
      <c r="A243" t="s">
        <v>278</v>
      </c>
      <c r="C243" t="s">
        <v>22</v>
      </c>
      <c r="D243" t="s">
        <v>23</v>
      </c>
      <c r="E243" t="s">
        <v>552</v>
      </c>
      <c r="F243" t="s">
        <v>552</v>
      </c>
      <c r="G243" t="s">
        <v>552</v>
      </c>
      <c r="H243">
        <v>1</v>
      </c>
      <c r="I243">
        <v>499.99</v>
      </c>
      <c r="J243">
        <v>10</v>
      </c>
      <c r="K243" s="3">
        <v>499.99</v>
      </c>
      <c r="L243" t="s">
        <v>552</v>
      </c>
      <c r="M243" t="s">
        <v>30</v>
      </c>
      <c r="N243">
        <v>449.99100000000004</v>
      </c>
      <c r="O243">
        <f t="shared" si="9"/>
        <v>499.99</v>
      </c>
      <c r="P243" t="str">
        <f t="shared" si="10"/>
        <v>01-1900</v>
      </c>
      <c r="Q243" t="str">
        <f t="shared" si="11"/>
        <v>Normal</v>
      </c>
    </row>
    <row r="244" spans="1:17" x14ac:dyDescent="0.3">
      <c r="A244" t="s">
        <v>279</v>
      </c>
      <c r="C244" t="s">
        <v>22</v>
      </c>
      <c r="D244" t="s">
        <v>52</v>
      </c>
      <c r="E244" t="s">
        <v>24</v>
      </c>
      <c r="F244" t="s">
        <v>552</v>
      </c>
      <c r="G244" t="s">
        <v>552</v>
      </c>
      <c r="H244">
        <v>1</v>
      </c>
      <c r="I244">
        <v>7830.7177904328155</v>
      </c>
      <c r="J244">
        <v>5</v>
      </c>
      <c r="K244" s="3">
        <v>15000</v>
      </c>
      <c r="L244" t="s">
        <v>29</v>
      </c>
      <c r="M244" t="s">
        <v>30</v>
      </c>
      <c r="N244">
        <v>7439.1819009111741</v>
      </c>
      <c r="O244">
        <f t="shared" si="9"/>
        <v>7830.7177904328155</v>
      </c>
      <c r="P244" t="str">
        <f t="shared" si="10"/>
        <v>01-1900</v>
      </c>
      <c r="Q244" t="str">
        <f t="shared" si="11"/>
        <v>Normal</v>
      </c>
    </row>
    <row r="245" spans="1:17" x14ac:dyDescent="0.3">
      <c r="A245" t="s">
        <v>280</v>
      </c>
      <c r="B245" s="5">
        <v>45376</v>
      </c>
      <c r="C245" t="s">
        <v>32</v>
      </c>
      <c r="D245" t="s">
        <v>52</v>
      </c>
      <c r="E245" t="s">
        <v>18</v>
      </c>
      <c r="F245" t="s">
        <v>25</v>
      </c>
      <c r="G245" t="s">
        <v>20</v>
      </c>
      <c r="H245">
        <v>1</v>
      </c>
      <c r="I245">
        <v>499.99</v>
      </c>
      <c r="J245">
        <v>0</v>
      </c>
      <c r="K245" s="3">
        <v>30000</v>
      </c>
      <c r="L245" t="s">
        <v>552</v>
      </c>
      <c r="M245" t="s">
        <v>30</v>
      </c>
      <c r="N245">
        <v>499.99</v>
      </c>
      <c r="O245">
        <f t="shared" si="9"/>
        <v>499.99</v>
      </c>
      <c r="P245" t="str">
        <f t="shared" si="10"/>
        <v>03-2024</v>
      </c>
      <c r="Q245" t="str">
        <f t="shared" si="11"/>
        <v>Normal</v>
      </c>
    </row>
    <row r="246" spans="1:17" x14ac:dyDescent="0.3">
      <c r="A246" t="s">
        <v>281</v>
      </c>
      <c r="B246" s="5">
        <v>45337</v>
      </c>
      <c r="C246" t="s">
        <v>12</v>
      </c>
      <c r="D246" t="s">
        <v>44</v>
      </c>
      <c r="E246" t="s">
        <v>24</v>
      </c>
      <c r="F246" t="s">
        <v>25</v>
      </c>
      <c r="G246" t="s">
        <v>20</v>
      </c>
      <c r="H246">
        <v>1</v>
      </c>
      <c r="I246">
        <v>7830.7177904328155</v>
      </c>
      <c r="J246">
        <v>0</v>
      </c>
      <c r="K246" s="3">
        <v>0</v>
      </c>
      <c r="L246" t="s">
        <v>53</v>
      </c>
      <c r="M246" t="s">
        <v>30</v>
      </c>
      <c r="N246">
        <v>7830.7177904328155</v>
      </c>
      <c r="O246">
        <f t="shared" si="9"/>
        <v>7830.7177904328155</v>
      </c>
      <c r="P246" t="str">
        <f t="shared" si="10"/>
        <v>02-2024</v>
      </c>
      <c r="Q246" t="str">
        <f t="shared" si="11"/>
        <v>Normal</v>
      </c>
    </row>
    <row r="247" spans="1:17" x14ac:dyDescent="0.3">
      <c r="A247" t="s">
        <v>282</v>
      </c>
      <c r="C247" t="s">
        <v>552</v>
      </c>
      <c r="D247" t="s">
        <v>44</v>
      </c>
      <c r="E247" t="s">
        <v>24</v>
      </c>
      <c r="F247" t="s">
        <v>19</v>
      </c>
      <c r="G247" t="s">
        <v>20</v>
      </c>
      <c r="H247">
        <v>4</v>
      </c>
      <c r="I247">
        <v>799.5</v>
      </c>
      <c r="J247">
        <v>10</v>
      </c>
      <c r="K247" s="3">
        <v>499.99</v>
      </c>
      <c r="L247" t="s">
        <v>552</v>
      </c>
      <c r="M247" t="s">
        <v>37</v>
      </c>
      <c r="N247">
        <v>2878.2000000000003</v>
      </c>
      <c r="O247">
        <f t="shared" si="9"/>
        <v>3198</v>
      </c>
      <c r="P247" t="str">
        <f t="shared" si="10"/>
        <v>01-1900</v>
      </c>
      <c r="Q247" t="str">
        <f t="shared" si="11"/>
        <v>Normal</v>
      </c>
    </row>
    <row r="248" spans="1:17" x14ac:dyDescent="0.3">
      <c r="A248" t="s">
        <v>283</v>
      </c>
      <c r="B248" s="5">
        <v>45337</v>
      </c>
      <c r="C248" t="s">
        <v>32</v>
      </c>
      <c r="D248" t="s">
        <v>552</v>
      </c>
      <c r="E248" t="s">
        <v>552</v>
      </c>
      <c r="F248" t="s">
        <v>552</v>
      </c>
      <c r="G248" t="s">
        <v>60</v>
      </c>
      <c r="H248">
        <v>1</v>
      </c>
      <c r="I248">
        <v>7830.7177904328155</v>
      </c>
      <c r="J248">
        <v>15</v>
      </c>
      <c r="K248" s="3">
        <v>0</v>
      </c>
      <c r="L248" t="s">
        <v>39</v>
      </c>
      <c r="M248" t="s">
        <v>33</v>
      </c>
      <c r="N248">
        <v>6656.1101218678932</v>
      </c>
      <c r="O248">
        <f t="shared" si="9"/>
        <v>7830.7177904328155</v>
      </c>
      <c r="P248" t="str">
        <f t="shared" si="10"/>
        <v>02-2024</v>
      </c>
      <c r="Q248" t="str">
        <f t="shared" si="11"/>
        <v>Normal</v>
      </c>
    </row>
    <row r="249" spans="1:17" x14ac:dyDescent="0.3">
      <c r="A249" t="s">
        <v>284</v>
      </c>
      <c r="B249" s="5">
        <v>45306</v>
      </c>
      <c r="C249" t="s">
        <v>22</v>
      </c>
      <c r="D249" t="s">
        <v>44</v>
      </c>
      <c r="E249" t="s">
        <v>36</v>
      </c>
      <c r="F249" t="s">
        <v>19</v>
      </c>
      <c r="G249" t="s">
        <v>20</v>
      </c>
      <c r="H249">
        <v>4</v>
      </c>
      <c r="I249">
        <v>499.99</v>
      </c>
      <c r="J249">
        <v>10</v>
      </c>
      <c r="K249" s="3">
        <v>0</v>
      </c>
      <c r="L249" t="s">
        <v>552</v>
      </c>
      <c r="M249" t="s">
        <v>30</v>
      </c>
      <c r="N249">
        <v>1799.9640000000002</v>
      </c>
      <c r="O249">
        <f t="shared" si="9"/>
        <v>1999.96</v>
      </c>
      <c r="P249" t="str">
        <f t="shared" si="10"/>
        <v>01-2024</v>
      </c>
      <c r="Q249" t="str">
        <f t="shared" si="11"/>
        <v>Normal</v>
      </c>
    </row>
    <row r="250" spans="1:17" x14ac:dyDescent="0.3">
      <c r="A250" t="s">
        <v>285</v>
      </c>
      <c r="B250" s="5">
        <v>45306</v>
      </c>
      <c r="C250" t="s">
        <v>552</v>
      </c>
      <c r="D250" t="s">
        <v>23</v>
      </c>
      <c r="E250" t="s">
        <v>24</v>
      </c>
      <c r="F250" t="s">
        <v>14</v>
      </c>
      <c r="G250" t="s">
        <v>60</v>
      </c>
      <c r="H250">
        <v>1</v>
      </c>
      <c r="I250">
        <v>7830.7177904328155</v>
      </c>
      <c r="J250">
        <v>15</v>
      </c>
      <c r="K250" s="3">
        <v>0</v>
      </c>
      <c r="L250" t="s">
        <v>552</v>
      </c>
      <c r="M250" t="s">
        <v>552</v>
      </c>
      <c r="N250">
        <v>6656.1101218678932</v>
      </c>
      <c r="O250">
        <f t="shared" si="9"/>
        <v>7830.7177904328155</v>
      </c>
      <c r="P250" t="str">
        <f t="shared" si="10"/>
        <v>01-2024</v>
      </c>
      <c r="Q250" t="str">
        <f t="shared" si="11"/>
        <v>Normal</v>
      </c>
    </row>
    <row r="251" spans="1:17" x14ac:dyDescent="0.3">
      <c r="A251" t="s">
        <v>532</v>
      </c>
      <c r="B251" s="5">
        <v>45337</v>
      </c>
      <c r="C251" t="s">
        <v>22</v>
      </c>
      <c r="D251" t="s">
        <v>13</v>
      </c>
      <c r="E251" t="s">
        <v>36</v>
      </c>
      <c r="F251" t="s">
        <v>25</v>
      </c>
      <c r="G251" t="s">
        <v>47</v>
      </c>
      <c r="H251">
        <v>1</v>
      </c>
      <c r="I251">
        <v>25999</v>
      </c>
      <c r="J251">
        <v>10</v>
      </c>
      <c r="K251" s="3">
        <v>-500</v>
      </c>
      <c r="L251" t="s">
        <v>552</v>
      </c>
      <c r="M251" t="s">
        <v>552</v>
      </c>
      <c r="N251">
        <v>11699.1</v>
      </c>
      <c r="O251">
        <f t="shared" si="9"/>
        <v>25999</v>
      </c>
      <c r="P251" t="str">
        <f t="shared" si="10"/>
        <v>02-2024</v>
      </c>
      <c r="Q251" t="str">
        <f t="shared" si="11"/>
        <v>High</v>
      </c>
    </row>
    <row r="252" spans="1:17" x14ac:dyDescent="0.3">
      <c r="A252" t="s">
        <v>287</v>
      </c>
      <c r="B252" s="5">
        <v>45306</v>
      </c>
      <c r="C252" t="s">
        <v>22</v>
      </c>
      <c r="D252" t="s">
        <v>13</v>
      </c>
      <c r="E252" t="s">
        <v>24</v>
      </c>
      <c r="F252" t="s">
        <v>552</v>
      </c>
      <c r="G252" t="s">
        <v>47</v>
      </c>
      <c r="H252">
        <v>1</v>
      </c>
      <c r="I252">
        <v>499.99</v>
      </c>
      <c r="J252">
        <v>0</v>
      </c>
      <c r="K252" s="3">
        <v>499.99</v>
      </c>
      <c r="L252" t="s">
        <v>552</v>
      </c>
      <c r="M252" t="s">
        <v>33</v>
      </c>
      <c r="N252">
        <v>499.99</v>
      </c>
      <c r="O252">
        <f t="shared" si="9"/>
        <v>499.99</v>
      </c>
      <c r="P252" t="str">
        <f t="shared" si="10"/>
        <v>01-2024</v>
      </c>
      <c r="Q252" t="str">
        <f t="shared" si="11"/>
        <v>Normal</v>
      </c>
    </row>
    <row r="253" spans="1:17" x14ac:dyDescent="0.3">
      <c r="A253" t="s">
        <v>534</v>
      </c>
      <c r="B253" s="5">
        <v>45337</v>
      </c>
      <c r="C253" t="s">
        <v>552</v>
      </c>
      <c r="D253" t="s">
        <v>552</v>
      </c>
      <c r="E253" t="s">
        <v>18</v>
      </c>
      <c r="F253" t="s">
        <v>25</v>
      </c>
      <c r="G253" t="s">
        <v>47</v>
      </c>
      <c r="H253">
        <v>4</v>
      </c>
      <c r="I253">
        <v>7830.7177904328155</v>
      </c>
      <c r="J253">
        <v>5</v>
      </c>
      <c r="K253" s="3">
        <v>499.99</v>
      </c>
      <c r="L253" t="s">
        <v>29</v>
      </c>
      <c r="M253" t="s">
        <v>33</v>
      </c>
      <c r="N253">
        <v>11699.1</v>
      </c>
      <c r="O253">
        <f t="shared" si="9"/>
        <v>31322.871161731262</v>
      </c>
      <c r="P253" t="str">
        <f t="shared" si="10"/>
        <v>02-2024</v>
      </c>
      <c r="Q253" t="str">
        <f t="shared" si="11"/>
        <v>High</v>
      </c>
    </row>
    <row r="254" spans="1:17" x14ac:dyDescent="0.3">
      <c r="A254" t="s">
        <v>289</v>
      </c>
      <c r="B254" s="5">
        <v>45306</v>
      </c>
      <c r="C254" t="s">
        <v>32</v>
      </c>
      <c r="D254" t="s">
        <v>44</v>
      </c>
      <c r="E254" t="s">
        <v>24</v>
      </c>
      <c r="F254" t="s">
        <v>552</v>
      </c>
      <c r="G254" t="s">
        <v>60</v>
      </c>
      <c r="H254">
        <v>1</v>
      </c>
      <c r="I254">
        <v>7830.7177904328155</v>
      </c>
      <c r="J254">
        <v>10</v>
      </c>
      <c r="K254" s="3">
        <v>0</v>
      </c>
      <c r="L254" t="s">
        <v>49</v>
      </c>
      <c r="M254" t="s">
        <v>552</v>
      </c>
      <c r="N254">
        <v>7047.6460113895337</v>
      </c>
      <c r="O254">
        <f t="shared" si="9"/>
        <v>7830.7177904328155</v>
      </c>
      <c r="P254" t="str">
        <f t="shared" si="10"/>
        <v>01-2024</v>
      </c>
      <c r="Q254" t="str">
        <f t="shared" si="11"/>
        <v>Normal</v>
      </c>
    </row>
    <row r="255" spans="1:17" x14ac:dyDescent="0.3">
      <c r="A255" t="s">
        <v>290</v>
      </c>
      <c r="B255" s="5">
        <v>45337</v>
      </c>
      <c r="C255" t="s">
        <v>22</v>
      </c>
      <c r="D255" t="s">
        <v>44</v>
      </c>
      <c r="E255" t="s">
        <v>552</v>
      </c>
      <c r="F255" t="s">
        <v>25</v>
      </c>
      <c r="G255" t="s">
        <v>28</v>
      </c>
      <c r="H255">
        <v>3</v>
      </c>
      <c r="I255">
        <v>499.99</v>
      </c>
      <c r="J255">
        <v>50</v>
      </c>
      <c r="K255" s="3">
        <v>0</v>
      </c>
      <c r="L255" t="s">
        <v>552</v>
      </c>
      <c r="M255" t="s">
        <v>552</v>
      </c>
      <c r="N255">
        <v>749.98500000000001</v>
      </c>
      <c r="O255">
        <f t="shared" si="9"/>
        <v>1499.97</v>
      </c>
      <c r="P255" t="str">
        <f t="shared" si="10"/>
        <v>02-2024</v>
      </c>
      <c r="Q255" t="str">
        <f t="shared" si="11"/>
        <v>Normal</v>
      </c>
    </row>
    <row r="256" spans="1:17" x14ac:dyDescent="0.3">
      <c r="A256" t="s">
        <v>291</v>
      </c>
      <c r="B256" s="5">
        <v>45337</v>
      </c>
      <c r="C256" t="s">
        <v>552</v>
      </c>
      <c r="D256" t="s">
        <v>552</v>
      </c>
      <c r="E256" t="s">
        <v>552</v>
      </c>
      <c r="F256" t="s">
        <v>19</v>
      </c>
      <c r="G256" t="s">
        <v>60</v>
      </c>
      <c r="H256">
        <v>3</v>
      </c>
      <c r="I256">
        <v>799.5</v>
      </c>
      <c r="J256">
        <v>5</v>
      </c>
      <c r="K256" s="3">
        <v>0</v>
      </c>
      <c r="L256" t="s">
        <v>39</v>
      </c>
      <c r="M256" t="s">
        <v>33</v>
      </c>
      <c r="N256">
        <v>2278.5749999999998</v>
      </c>
      <c r="O256">
        <f t="shared" si="9"/>
        <v>2398.5</v>
      </c>
      <c r="P256" t="str">
        <f t="shared" si="10"/>
        <v>02-2024</v>
      </c>
      <c r="Q256" t="str">
        <f t="shared" si="11"/>
        <v>Normal</v>
      </c>
    </row>
    <row r="257" spans="1:17" x14ac:dyDescent="0.3">
      <c r="A257" t="s">
        <v>292</v>
      </c>
      <c r="C257" t="s">
        <v>552</v>
      </c>
      <c r="D257" t="s">
        <v>552</v>
      </c>
      <c r="E257" t="s">
        <v>552</v>
      </c>
      <c r="F257" t="s">
        <v>552</v>
      </c>
      <c r="G257" t="s">
        <v>552</v>
      </c>
      <c r="H257">
        <v>3</v>
      </c>
      <c r="I257">
        <v>7830.7177904328155</v>
      </c>
      <c r="J257">
        <v>50</v>
      </c>
      <c r="K257" s="3">
        <v>-500</v>
      </c>
      <c r="L257" t="s">
        <v>49</v>
      </c>
      <c r="M257" t="s">
        <v>37</v>
      </c>
      <c r="N257">
        <v>11746.076685649223</v>
      </c>
      <c r="O257">
        <f t="shared" si="9"/>
        <v>23492.153371298446</v>
      </c>
      <c r="P257" t="str">
        <f t="shared" si="10"/>
        <v>01-1900</v>
      </c>
      <c r="Q257" t="str">
        <f t="shared" si="11"/>
        <v>High</v>
      </c>
    </row>
    <row r="258" spans="1:17" x14ac:dyDescent="0.3">
      <c r="A258" t="s">
        <v>293</v>
      </c>
      <c r="B258" s="5">
        <v>45337</v>
      </c>
      <c r="C258" t="s">
        <v>32</v>
      </c>
      <c r="D258" t="s">
        <v>52</v>
      </c>
      <c r="E258" t="s">
        <v>36</v>
      </c>
      <c r="F258" t="s">
        <v>14</v>
      </c>
      <c r="G258" t="s">
        <v>47</v>
      </c>
      <c r="H258">
        <v>1</v>
      </c>
      <c r="I258">
        <v>7830.7177904328155</v>
      </c>
      <c r="J258">
        <v>5</v>
      </c>
      <c r="K258" s="3">
        <v>499.99</v>
      </c>
      <c r="L258" t="s">
        <v>39</v>
      </c>
      <c r="M258" t="s">
        <v>30</v>
      </c>
      <c r="N258">
        <v>7439.1819009111741</v>
      </c>
      <c r="O258">
        <f t="shared" ref="O258:O321" si="12">H258*I258</f>
        <v>7830.7177904328155</v>
      </c>
      <c r="P258" t="str">
        <f t="shared" ref="P258:P321" si="13">TEXT(B258,"MM-YYYY")</f>
        <v>02-2024</v>
      </c>
      <c r="Q258" t="str">
        <f t="shared" ref="Q258:Q321" si="14">IF(N258&gt;10000,"High","Normal")</f>
        <v>Normal</v>
      </c>
    </row>
    <row r="259" spans="1:17" x14ac:dyDescent="0.3">
      <c r="A259" t="s">
        <v>540</v>
      </c>
      <c r="B259" s="5">
        <v>45337</v>
      </c>
      <c r="C259" t="s">
        <v>27</v>
      </c>
      <c r="D259" t="s">
        <v>552</v>
      </c>
      <c r="E259" t="s">
        <v>24</v>
      </c>
      <c r="F259" t="s">
        <v>552</v>
      </c>
      <c r="G259" t="s">
        <v>20</v>
      </c>
      <c r="H259">
        <v>4</v>
      </c>
      <c r="I259">
        <v>7830.7177904328155</v>
      </c>
      <c r="J259">
        <v>0</v>
      </c>
      <c r="K259" s="3">
        <v>15000</v>
      </c>
      <c r="L259" t="s">
        <v>39</v>
      </c>
      <c r="M259" t="s">
        <v>33</v>
      </c>
      <c r="N259">
        <v>11049.15</v>
      </c>
      <c r="O259">
        <f t="shared" si="12"/>
        <v>31322.871161731262</v>
      </c>
      <c r="P259" t="str">
        <f t="shared" si="13"/>
        <v>02-2024</v>
      </c>
      <c r="Q259" t="str">
        <f t="shared" si="14"/>
        <v>High</v>
      </c>
    </row>
    <row r="260" spans="1:17" x14ac:dyDescent="0.3">
      <c r="A260" t="s">
        <v>295</v>
      </c>
      <c r="B260" s="5">
        <v>45306</v>
      </c>
      <c r="C260" t="s">
        <v>552</v>
      </c>
      <c r="D260" t="s">
        <v>23</v>
      </c>
      <c r="E260" t="s">
        <v>18</v>
      </c>
      <c r="F260" t="s">
        <v>25</v>
      </c>
      <c r="G260" t="s">
        <v>60</v>
      </c>
      <c r="H260">
        <v>2</v>
      </c>
      <c r="I260">
        <v>7830.7177904328155</v>
      </c>
      <c r="J260">
        <v>50</v>
      </c>
      <c r="K260" s="3">
        <v>499.99</v>
      </c>
      <c r="L260" t="s">
        <v>39</v>
      </c>
      <c r="M260" t="s">
        <v>33</v>
      </c>
      <c r="N260">
        <v>7830.7177904328155</v>
      </c>
      <c r="O260">
        <f t="shared" si="12"/>
        <v>15661.435580865631</v>
      </c>
      <c r="P260" t="str">
        <f t="shared" si="13"/>
        <v>01-2024</v>
      </c>
      <c r="Q260" t="str">
        <f t="shared" si="14"/>
        <v>Normal</v>
      </c>
    </row>
    <row r="261" spans="1:17" x14ac:dyDescent="0.3">
      <c r="A261" t="s">
        <v>546</v>
      </c>
      <c r="B261" s="5">
        <v>45337</v>
      </c>
      <c r="C261" t="s">
        <v>552</v>
      </c>
      <c r="D261" t="s">
        <v>44</v>
      </c>
      <c r="E261" t="s">
        <v>24</v>
      </c>
      <c r="F261" t="s">
        <v>552</v>
      </c>
      <c r="G261" t="s">
        <v>552</v>
      </c>
      <c r="H261">
        <v>1</v>
      </c>
      <c r="I261">
        <v>12999</v>
      </c>
      <c r="J261">
        <v>15</v>
      </c>
      <c r="K261" s="3">
        <v>0</v>
      </c>
      <c r="L261" t="s">
        <v>552</v>
      </c>
      <c r="M261" t="s">
        <v>16</v>
      </c>
      <c r="N261">
        <v>11049.15</v>
      </c>
      <c r="O261">
        <f t="shared" si="12"/>
        <v>12999</v>
      </c>
      <c r="P261" t="str">
        <f t="shared" si="13"/>
        <v>02-2024</v>
      </c>
      <c r="Q261" t="str">
        <f t="shared" si="14"/>
        <v>High</v>
      </c>
    </row>
    <row r="262" spans="1:17" x14ac:dyDescent="0.3">
      <c r="A262" t="s">
        <v>549</v>
      </c>
      <c r="B262" s="5">
        <v>45337</v>
      </c>
      <c r="C262" t="s">
        <v>552</v>
      </c>
      <c r="D262" t="s">
        <v>52</v>
      </c>
      <c r="E262" t="s">
        <v>552</v>
      </c>
      <c r="F262" t="s">
        <v>19</v>
      </c>
      <c r="G262" t="s">
        <v>20</v>
      </c>
      <c r="H262">
        <v>1</v>
      </c>
      <c r="I262">
        <v>12999</v>
      </c>
      <c r="J262">
        <v>0</v>
      </c>
      <c r="K262" s="3">
        <v>499.99</v>
      </c>
      <c r="L262" t="s">
        <v>552</v>
      </c>
      <c r="M262" t="s">
        <v>552</v>
      </c>
      <c r="N262">
        <v>11049.15</v>
      </c>
      <c r="O262">
        <f t="shared" si="12"/>
        <v>12999</v>
      </c>
      <c r="P262" t="str">
        <f t="shared" si="13"/>
        <v>02-2024</v>
      </c>
      <c r="Q262" t="str">
        <f t="shared" si="14"/>
        <v>High</v>
      </c>
    </row>
    <row r="263" spans="1:17" x14ac:dyDescent="0.3">
      <c r="A263" t="s">
        <v>298</v>
      </c>
      <c r="B263" s="5">
        <v>45376</v>
      </c>
      <c r="C263" t="s">
        <v>552</v>
      </c>
      <c r="D263" t="s">
        <v>44</v>
      </c>
      <c r="E263" t="s">
        <v>552</v>
      </c>
      <c r="F263" t="s">
        <v>552</v>
      </c>
      <c r="G263" t="s">
        <v>60</v>
      </c>
      <c r="H263">
        <v>1</v>
      </c>
      <c r="I263">
        <v>499.99</v>
      </c>
      <c r="J263">
        <v>0</v>
      </c>
      <c r="K263" s="3">
        <v>0</v>
      </c>
      <c r="L263" t="s">
        <v>39</v>
      </c>
      <c r="M263" t="s">
        <v>16</v>
      </c>
      <c r="N263">
        <v>499.99</v>
      </c>
      <c r="O263">
        <f t="shared" si="12"/>
        <v>499.99</v>
      </c>
      <c r="P263" t="str">
        <f t="shared" si="13"/>
        <v>03-2024</v>
      </c>
      <c r="Q263" t="str">
        <f t="shared" si="14"/>
        <v>Normal</v>
      </c>
    </row>
    <row r="264" spans="1:17" x14ac:dyDescent="0.3">
      <c r="A264" t="s">
        <v>299</v>
      </c>
      <c r="C264" t="s">
        <v>552</v>
      </c>
      <c r="D264" t="s">
        <v>44</v>
      </c>
      <c r="E264" t="s">
        <v>24</v>
      </c>
      <c r="F264" t="s">
        <v>552</v>
      </c>
      <c r="G264" t="s">
        <v>60</v>
      </c>
      <c r="H264">
        <v>1</v>
      </c>
      <c r="I264">
        <v>799.5</v>
      </c>
      <c r="J264">
        <v>0</v>
      </c>
      <c r="K264" s="3">
        <v>15000</v>
      </c>
      <c r="L264" t="s">
        <v>49</v>
      </c>
      <c r="M264" t="s">
        <v>16</v>
      </c>
      <c r="N264">
        <v>799.5</v>
      </c>
      <c r="O264">
        <f t="shared" si="12"/>
        <v>799.5</v>
      </c>
      <c r="P264" t="str">
        <f t="shared" si="13"/>
        <v>01-1900</v>
      </c>
      <c r="Q264" t="str">
        <f t="shared" si="14"/>
        <v>Normal</v>
      </c>
    </row>
    <row r="265" spans="1:17" x14ac:dyDescent="0.3">
      <c r="A265" t="s">
        <v>300</v>
      </c>
      <c r="B265" s="5">
        <v>45376</v>
      </c>
      <c r="C265" t="s">
        <v>12</v>
      </c>
      <c r="D265" t="s">
        <v>44</v>
      </c>
      <c r="E265" t="s">
        <v>18</v>
      </c>
      <c r="F265" t="s">
        <v>19</v>
      </c>
      <c r="G265" t="s">
        <v>552</v>
      </c>
      <c r="H265">
        <v>3</v>
      </c>
      <c r="I265">
        <v>799.5</v>
      </c>
      <c r="J265">
        <v>50</v>
      </c>
      <c r="K265" s="3">
        <v>499.99</v>
      </c>
      <c r="L265" t="s">
        <v>53</v>
      </c>
      <c r="M265" t="s">
        <v>16</v>
      </c>
      <c r="N265">
        <v>1199.25</v>
      </c>
      <c r="O265">
        <f t="shared" si="12"/>
        <v>2398.5</v>
      </c>
      <c r="P265" t="str">
        <f t="shared" si="13"/>
        <v>03-2024</v>
      </c>
      <c r="Q265" t="str">
        <f t="shared" si="14"/>
        <v>Normal</v>
      </c>
    </row>
    <row r="266" spans="1:17" x14ac:dyDescent="0.3">
      <c r="A266" t="s">
        <v>85</v>
      </c>
      <c r="B266" s="5">
        <v>45306</v>
      </c>
      <c r="C266" t="s">
        <v>552</v>
      </c>
      <c r="D266" t="s">
        <v>52</v>
      </c>
      <c r="E266" t="s">
        <v>24</v>
      </c>
      <c r="F266" t="s">
        <v>19</v>
      </c>
      <c r="G266" t="s">
        <v>552</v>
      </c>
      <c r="H266">
        <v>3</v>
      </c>
      <c r="I266">
        <v>12999</v>
      </c>
      <c r="J266">
        <v>5</v>
      </c>
      <c r="K266" s="3">
        <v>499.99</v>
      </c>
      <c r="L266" t="s">
        <v>39</v>
      </c>
      <c r="M266" t="s">
        <v>552</v>
      </c>
      <c r="N266">
        <v>77997</v>
      </c>
      <c r="O266">
        <f t="shared" si="12"/>
        <v>38997</v>
      </c>
      <c r="P266" t="str">
        <f t="shared" si="13"/>
        <v>01-2024</v>
      </c>
      <c r="Q266" t="str">
        <f t="shared" si="14"/>
        <v>High</v>
      </c>
    </row>
    <row r="267" spans="1:17" x14ac:dyDescent="0.3">
      <c r="A267" t="s">
        <v>98</v>
      </c>
      <c r="B267" s="5">
        <v>45306</v>
      </c>
      <c r="C267" t="s">
        <v>22</v>
      </c>
      <c r="D267" t="s">
        <v>23</v>
      </c>
      <c r="E267" t="s">
        <v>18</v>
      </c>
      <c r="F267" t="s">
        <v>552</v>
      </c>
      <c r="G267" t="s">
        <v>552</v>
      </c>
      <c r="H267">
        <v>1</v>
      </c>
      <c r="I267">
        <v>25999</v>
      </c>
      <c r="J267">
        <v>0</v>
      </c>
      <c r="K267" s="3">
        <v>30000</v>
      </c>
      <c r="L267" t="s">
        <v>39</v>
      </c>
      <c r="M267" t="s">
        <v>552</v>
      </c>
      <c r="N267">
        <v>66297.45</v>
      </c>
      <c r="O267">
        <f t="shared" si="12"/>
        <v>25999</v>
      </c>
      <c r="P267" t="str">
        <f t="shared" si="13"/>
        <v>01-2024</v>
      </c>
      <c r="Q267" t="str">
        <f t="shared" si="14"/>
        <v>High</v>
      </c>
    </row>
    <row r="268" spans="1:17" x14ac:dyDescent="0.3">
      <c r="A268" t="s">
        <v>303</v>
      </c>
      <c r="C268" t="s">
        <v>552</v>
      </c>
      <c r="D268" t="s">
        <v>23</v>
      </c>
      <c r="E268" t="s">
        <v>18</v>
      </c>
      <c r="F268" t="s">
        <v>19</v>
      </c>
      <c r="G268" t="s">
        <v>47</v>
      </c>
      <c r="H268">
        <v>4</v>
      </c>
      <c r="I268">
        <v>799.5</v>
      </c>
      <c r="J268">
        <v>15</v>
      </c>
      <c r="K268" s="3">
        <v>30000</v>
      </c>
      <c r="L268" t="s">
        <v>29</v>
      </c>
      <c r="M268" t="s">
        <v>30</v>
      </c>
      <c r="N268">
        <v>2718.2999999999997</v>
      </c>
      <c r="O268">
        <f t="shared" si="12"/>
        <v>3198</v>
      </c>
      <c r="P268" t="str">
        <f t="shared" si="13"/>
        <v>01-1900</v>
      </c>
      <c r="Q268" t="str">
        <f t="shared" si="14"/>
        <v>Normal</v>
      </c>
    </row>
    <row r="269" spans="1:17" x14ac:dyDescent="0.3">
      <c r="A269" t="s">
        <v>304</v>
      </c>
      <c r="C269" t="s">
        <v>12</v>
      </c>
      <c r="D269" t="s">
        <v>552</v>
      </c>
      <c r="E269" t="s">
        <v>24</v>
      </c>
      <c r="F269" t="s">
        <v>25</v>
      </c>
      <c r="G269" t="s">
        <v>15</v>
      </c>
      <c r="H269">
        <v>1</v>
      </c>
      <c r="I269">
        <v>799.5</v>
      </c>
      <c r="J269">
        <v>0</v>
      </c>
      <c r="K269" s="3">
        <v>0</v>
      </c>
      <c r="L269" t="s">
        <v>53</v>
      </c>
      <c r="M269" t="s">
        <v>552</v>
      </c>
      <c r="N269">
        <v>799.5</v>
      </c>
      <c r="O269">
        <f t="shared" si="12"/>
        <v>799.5</v>
      </c>
      <c r="P269" t="str">
        <f t="shared" si="13"/>
        <v>01-1900</v>
      </c>
      <c r="Q269" t="str">
        <f t="shared" si="14"/>
        <v>Normal</v>
      </c>
    </row>
    <row r="270" spans="1:17" x14ac:dyDescent="0.3">
      <c r="A270" t="s">
        <v>305</v>
      </c>
      <c r="C270" t="s">
        <v>32</v>
      </c>
      <c r="D270" t="s">
        <v>52</v>
      </c>
      <c r="E270" t="s">
        <v>552</v>
      </c>
      <c r="F270" t="s">
        <v>552</v>
      </c>
      <c r="G270" t="s">
        <v>28</v>
      </c>
      <c r="H270">
        <v>4</v>
      </c>
      <c r="I270">
        <v>25999</v>
      </c>
      <c r="J270">
        <v>15</v>
      </c>
      <c r="K270" s="3">
        <v>0</v>
      </c>
      <c r="L270" t="s">
        <v>53</v>
      </c>
      <c r="M270" t="s">
        <v>37</v>
      </c>
      <c r="N270">
        <v>88396.599999999991</v>
      </c>
      <c r="O270">
        <f t="shared" si="12"/>
        <v>103996</v>
      </c>
      <c r="P270" t="str">
        <f t="shared" si="13"/>
        <v>01-1900</v>
      </c>
      <c r="Q270" t="str">
        <f t="shared" si="14"/>
        <v>High</v>
      </c>
    </row>
    <row r="271" spans="1:17" x14ac:dyDescent="0.3">
      <c r="A271" t="s">
        <v>99</v>
      </c>
      <c r="B271" s="5">
        <v>45306</v>
      </c>
      <c r="C271" t="s">
        <v>32</v>
      </c>
      <c r="D271" t="s">
        <v>552</v>
      </c>
      <c r="E271" t="s">
        <v>18</v>
      </c>
      <c r="F271" t="s">
        <v>14</v>
      </c>
      <c r="G271" t="s">
        <v>552</v>
      </c>
      <c r="H271">
        <v>1</v>
      </c>
      <c r="I271">
        <v>25999</v>
      </c>
      <c r="J271">
        <v>50</v>
      </c>
      <c r="K271" s="3">
        <v>0</v>
      </c>
      <c r="L271" t="s">
        <v>39</v>
      </c>
      <c r="M271" t="s">
        <v>552</v>
      </c>
      <c r="N271">
        <v>51998</v>
      </c>
      <c r="O271">
        <f t="shared" si="12"/>
        <v>25999</v>
      </c>
      <c r="P271" t="str">
        <f t="shared" si="13"/>
        <v>01-2024</v>
      </c>
      <c r="Q271" t="str">
        <f t="shared" si="14"/>
        <v>High</v>
      </c>
    </row>
    <row r="272" spans="1:17" x14ac:dyDescent="0.3">
      <c r="A272" t="s">
        <v>307</v>
      </c>
      <c r="C272" t="s">
        <v>552</v>
      </c>
      <c r="D272" t="s">
        <v>13</v>
      </c>
      <c r="E272" t="s">
        <v>36</v>
      </c>
      <c r="F272" t="s">
        <v>25</v>
      </c>
      <c r="G272" t="s">
        <v>47</v>
      </c>
      <c r="H272">
        <v>1</v>
      </c>
      <c r="I272">
        <v>499.99</v>
      </c>
      <c r="J272">
        <v>0</v>
      </c>
      <c r="K272" s="3">
        <v>0</v>
      </c>
      <c r="L272" t="s">
        <v>39</v>
      </c>
      <c r="M272" t="s">
        <v>552</v>
      </c>
      <c r="N272">
        <v>499.99</v>
      </c>
      <c r="O272">
        <f t="shared" si="12"/>
        <v>499.99</v>
      </c>
      <c r="P272" t="str">
        <f t="shared" si="13"/>
        <v>01-1900</v>
      </c>
      <c r="Q272" t="str">
        <f t="shared" si="14"/>
        <v>Normal</v>
      </c>
    </row>
    <row r="273" spans="1:17" x14ac:dyDescent="0.3">
      <c r="A273" t="s">
        <v>100</v>
      </c>
      <c r="B273" s="5">
        <v>45306</v>
      </c>
      <c r="C273" t="s">
        <v>12</v>
      </c>
      <c r="D273" t="s">
        <v>552</v>
      </c>
      <c r="E273" t="s">
        <v>36</v>
      </c>
      <c r="F273" t="s">
        <v>25</v>
      </c>
      <c r="G273" t="s">
        <v>552</v>
      </c>
      <c r="H273">
        <v>1</v>
      </c>
      <c r="I273">
        <v>25999</v>
      </c>
      <c r="J273">
        <v>50</v>
      </c>
      <c r="K273" s="3">
        <v>499.99</v>
      </c>
      <c r="L273" t="s">
        <v>552</v>
      </c>
      <c r="M273" t="s">
        <v>552</v>
      </c>
      <c r="N273">
        <v>51998</v>
      </c>
      <c r="O273">
        <f t="shared" si="12"/>
        <v>25999</v>
      </c>
      <c r="P273" t="str">
        <f t="shared" si="13"/>
        <v>01-2024</v>
      </c>
      <c r="Q273" t="str">
        <f t="shared" si="14"/>
        <v>High</v>
      </c>
    </row>
    <row r="274" spans="1:17" x14ac:dyDescent="0.3">
      <c r="A274" t="s">
        <v>108</v>
      </c>
      <c r="B274" s="5">
        <v>45306</v>
      </c>
      <c r="C274" t="s">
        <v>32</v>
      </c>
      <c r="D274" t="s">
        <v>552</v>
      </c>
      <c r="E274" t="s">
        <v>24</v>
      </c>
      <c r="F274" t="s">
        <v>25</v>
      </c>
      <c r="G274" t="s">
        <v>47</v>
      </c>
      <c r="H274">
        <v>4</v>
      </c>
      <c r="I274">
        <v>12999</v>
      </c>
      <c r="J274">
        <v>10</v>
      </c>
      <c r="K274" s="3">
        <v>0</v>
      </c>
      <c r="L274" t="s">
        <v>552</v>
      </c>
      <c r="M274" t="s">
        <v>30</v>
      </c>
      <c r="N274">
        <v>51996</v>
      </c>
      <c r="O274">
        <f t="shared" si="12"/>
        <v>51996</v>
      </c>
      <c r="P274" t="str">
        <f t="shared" si="13"/>
        <v>01-2024</v>
      </c>
      <c r="Q274" t="str">
        <f t="shared" si="14"/>
        <v>High</v>
      </c>
    </row>
    <row r="275" spans="1:17" x14ac:dyDescent="0.3">
      <c r="A275" t="s">
        <v>119</v>
      </c>
      <c r="B275" s="5">
        <v>45306</v>
      </c>
      <c r="C275" t="s">
        <v>32</v>
      </c>
      <c r="D275" t="s">
        <v>52</v>
      </c>
      <c r="E275" t="s">
        <v>24</v>
      </c>
      <c r="F275" t="s">
        <v>14</v>
      </c>
      <c r="G275" t="s">
        <v>15</v>
      </c>
      <c r="H275">
        <v>1</v>
      </c>
      <c r="I275">
        <v>12999</v>
      </c>
      <c r="J275">
        <v>10</v>
      </c>
      <c r="K275" s="3">
        <v>499.99</v>
      </c>
      <c r="L275" t="s">
        <v>552</v>
      </c>
      <c r="M275" t="s">
        <v>552</v>
      </c>
      <c r="N275">
        <v>51996</v>
      </c>
      <c r="O275">
        <f t="shared" si="12"/>
        <v>12999</v>
      </c>
      <c r="P275" t="str">
        <f t="shared" si="13"/>
        <v>01-2024</v>
      </c>
      <c r="Q275" t="str">
        <f t="shared" si="14"/>
        <v>High</v>
      </c>
    </row>
    <row r="276" spans="1:17" x14ac:dyDescent="0.3">
      <c r="A276" t="s">
        <v>133</v>
      </c>
      <c r="B276" s="5">
        <v>45306</v>
      </c>
      <c r="C276" t="s">
        <v>552</v>
      </c>
      <c r="D276" t="s">
        <v>552</v>
      </c>
      <c r="E276" t="s">
        <v>18</v>
      </c>
      <c r="F276" t="s">
        <v>552</v>
      </c>
      <c r="G276" t="s">
        <v>15</v>
      </c>
      <c r="H276">
        <v>2</v>
      </c>
      <c r="I276">
        <v>12999</v>
      </c>
      <c r="J276">
        <v>5</v>
      </c>
      <c r="K276" s="3">
        <v>0</v>
      </c>
      <c r="L276" t="s">
        <v>39</v>
      </c>
      <c r="M276" t="s">
        <v>552</v>
      </c>
      <c r="N276">
        <v>46798.200000000004</v>
      </c>
      <c r="O276">
        <f t="shared" si="12"/>
        <v>25998</v>
      </c>
      <c r="P276" t="str">
        <f t="shared" si="13"/>
        <v>01-2024</v>
      </c>
      <c r="Q276" t="str">
        <f t="shared" si="14"/>
        <v>High</v>
      </c>
    </row>
    <row r="277" spans="1:17" x14ac:dyDescent="0.3">
      <c r="A277" t="s">
        <v>186</v>
      </c>
      <c r="B277" s="5">
        <v>45306</v>
      </c>
      <c r="C277" t="s">
        <v>552</v>
      </c>
      <c r="D277" t="s">
        <v>552</v>
      </c>
      <c r="E277" t="s">
        <v>18</v>
      </c>
      <c r="F277" t="s">
        <v>25</v>
      </c>
      <c r="G277" t="s">
        <v>15</v>
      </c>
      <c r="H277">
        <v>4</v>
      </c>
      <c r="I277">
        <v>12999</v>
      </c>
      <c r="J277">
        <v>0</v>
      </c>
      <c r="K277" s="3">
        <v>15000</v>
      </c>
      <c r="L277" t="s">
        <v>29</v>
      </c>
      <c r="M277" t="s">
        <v>552</v>
      </c>
      <c r="N277">
        <v>31322.871161731262</v>
      </c>
      <c r="O277">
        <f t="shared" si="12"/>
        <v>51996</v>
      </c>
      <c r="P277" t="str">
        <f t="shared" si="13"/>
        <v>01-2024</v>
      </c>
      <c r="Q277" t="str">
        <f t="shared" si="14"/>
        <v>High</v>
      </c>
    </row>
    <row r="278" spans="1:17" x14ac:dyDescent="0.3">
      <c r="A278" t="s">
        <v>189</v>
      </c>
      <c r="B278" s="5">
        <v>45306</v>
      </c>
      <c r="C278" t="s">
        <v>12</v>
      </c>
      <c r="D278" t="s">
        <v>552</v>
      </c>
      <c r="E278" t="s">
        <v>24</v>
      </c>
      <c r="F278" t="s">
        <v>552</v>
      </c>
      <c r="G278" t="s">
        <v>20</v>
      </c>
      <c r="H278">
        <v>3</v>
      </c>
      <c r="I278">
        <v>25999</v>
      </c>
      <c r="J278">
        <v>50</v>
      </c>
      <c r="K278" s="3">
        <v>15000</v>
      </c>
      <c r="L278" t="s">
        <v>552</v>
      </c>
      <c r="M278" t="s">
        <v>552</v>
      </c>
      <c r="N278">
        <v>31322.871161731262</v>
      </c>
      <c r="O278">
        <f t="shared" si="12"/>
        <v>77997</v>
      </c>
      <c r="P278" t="str">
        <f t="shared" si="13"/>
        <v>01-2024</v>
      </c>
      <c r="Q278" t="str">
        <f t="shared" si="14"/>
        <v>High</v>
      </c>
    </row>
    <row r="279" spans="1:17" x14ac:dyDescent="0.3">
      <c r="A279" t="s">
        <v>314</v>
      </c>
      <c r="C279" t="s">
        <v>12</v>
      </c>
      <c r="D279" t="s">
        <v>23</v>
      </c>
      <c r="E279" t="s">
        <v>552</v>
      </c>
      <c r="F279" t="s">
        <v>14</v>
      </c>
      <c r="G279" t="s">
        <v>20</v>
      </c>
      <c r="H279">
        <v>2</v>
      </c>
      <c r="I279">
        <v>799.5</v>
      </c>
      <c r="J279">
        <v>0</v>
      </c>
      <c r="K279" s="3">
        <v>0</v>
      </c>
      <c r="L279" t="s">
        <v>29</v>
      </c>
      <c r="M279" t="s">
        <v>16</v>
      </c>
      <c r="N279">
        <v>1599</v>
      </c>
      <c r="O279">
        <f t="shared" si="12"/>
        <v>1599</v>
      </c>
      <c r="P279" t="str">
        <f t="shared" si="13"/>
        <v>01-1900</v>
      </c>
      <c r="Q279" t="str">
        <f t="shared" si="14"/>
        <v>Normal</v>
      </c>
    </row>
    <row r="280" spans="1:17" x14ac:dyDescent="0.3">
      <c r="A280" t="s">
        <v>315</v>
      </c>
      <c r="C280" t="s">
        <v>32</v>
      </c>
      <c r="D280" t="s">
        <v>52</v>
      </c>
      <c r="E280" t="s">
        <v>36</v>
      </c>
      <c r="F280" t="s">
        <v>25</v>
      </c>
      <c r="G280" t="s">
        <v>15</v>
      </c>
      <c r="H280">
        <v>1</v>
      </c>
      <c r="I280">
        <v>799.5</v>
      </c>
      <c r="J280">
        <v>10</v>
      </c>
      <c r="K280" s="3">
        <v>30000</v>
      </c>
      <c r="L280" t="s">
        <v>53</v>
      </c>
      <c r="M280" t="s">
        <v>16</v>
      </c>
      <c r="N280">
        <v>719.55000000000007</v>
      </c>
      <c r="O280">
        <f t="shared" si="12"/>
        <v>799.5</v>
      </c>
      <c r="P280" t="str">
        <f t="shared" si="13"/>
        <v>01-1900</v>
      </c>
      <c r="Q280" t="str">
        <f t="shared" si="14"/>
        <v>Normal</v>
      </c>
    </row>
    <row r="281" spans="1:17" x14ac:dyDescent="0.3">
      <c r="A281" t="s">
        <v>316</v>
      </c>
      <c r="B281" s="5">
        <v>45337</v>
      </c>
      <c r="C281" t="s">
        <v>552</v>
      </c>
      <c r="D281" t="s">
        <v>52</v>
      </c>
      <c r="E281" t="s">
        <v>552</v>
      </c>
      <c r="F281" t="s">
        <v>552</v>
      </c>
      <c r="G281" t="s">
        <v>20</v>
      </c>
      <c r="H281">
        <v>4</v>
      </c>
      <c r="I281">
        <v>799.5</v>
      </c>
      <c r="J281">
        <v>5</v>
      </c>
      <c r="K281" s="3">
        <v>30000</v>
      </c>
      <c r="L281" t="s">
        <v>29</v>
      </c>
      <c r="M281" t="s">
        <v>30</v>
      </c>
      <c r="N281">
        <v>3038.1</v>
      </c>
      <c r="O281">
        <f t="shared" si="12"/>
        <v>3198</v>
      </c>
      <c r="P281" t="str">
        <f t="shared" si="13"/>
        <v>02-2024</v>
      </c>
      <c r="Q281" t="str">
        <f t="shared" si="14"/>
        <v>Normal</v>
      </c>
    </row>
    <row r="282" spans="1:17" x14ac:dyDescent="0.3">
      <c r="A282" t="s">
        <v>317</v>
      </c>
      <c r="C282" t="s">
        <v>12</v>
      </c>
      <c r="D282" t="s">
        <v>13</v>
      </c>
      <c r="E282" t="s">
        <v>552</v>
      </c>
      <c r="F282" t="s">
        <v>25</v>
      </c>
      <c r="G282" t="s">
        <v>15</v>
      </c>
      <c r="H282">
        <v>2</v>
      </c>
      <c r="I282">
        <v>7830.7177904328155</v>
      </c>
      <c r="J282">
        <v>0</v>
      </c>
      <c r="K282" s="3">
        <v>15000</v>
      </c>
      <c r="L282" t="s">
        <v>53</v>
      </c>
      <c r="M282" t="s">
        <v>37</v>
      </c>
      <c r="N282">
        <v>15661.435580865631</v>
      </c>
      <c r="O282">
        <f t="shared" si="12"/>
        <v>15661.435580865631</v>
      </c>
      <c r="P282" t="str">
        <f t="shared" si="13"/>
        <v>01-1900</v>
      </c>
      <c r="Q282" t="str">
        <f t="shared" si="14"/>
        <v>High</v>
      </c>
    </row>
    <row r="283" spans="1:17" x14ac:dyDescent="0.3">
      <c r="A283" t="s">
        <v>236</v>
      </c>
      <c r="B283" s="5">
        <v>45306</v>
      </c>
      <c r="C283" t="s">
        <v>552</v>
      </c>
      <c r="D283" t="s">
        <v>23</v>
      </c>
      <c r="E283" t="s">
        <v>18</v>
      </c>
      <c r="F283" t="s">
        <v>552</v>
      </c>
      <c r="G283" t="s">
        <v>20</v>
      </c>
      <c r="H283">
        <v>2</v>
      </c>
      <c r="I283">
        <v>12999</v>
      </c>
      <c r="J283">
        <v>5</v>
      </c>
      <c r="K283" s="3">
        <v>0</v>
      </c>
      <c r="L283" t="s">
        <v>29</v>
      </c>
      <c r="M283" t="s">
        <v>552</v>
      </c>
      <c r="N283">
        <v>25999</v>
      </c>
      <c r="O283">
        <f t="shared" si="12"/>
        <v>25998</v>
      </c>
      <c r="P283" t="str">
        <f t="shared" si="13"/>
        <v>01-2024</v>
      </c>
      <c r="Q283" t="str">
        <f t="shared" si="14"/>
        <v>High</v>
      </c>
    </row>
    <row r="284" spans="1:17" x14ac:dyDescent="0.3">
      <c r="A284" t="s">
        <v>241</v>
      </c>
      <c r="B284" s="5">
        <v>45306</v>
      </c>
      <c r="C284" t="s">
        <v>27</v>
      </c>
      <c r="D284" t="s">
        <v>44</v>
      </c>
      <c r="E284" t="s">
        <v>552</v>
      </c>
      <c r="F284" t="s">
        <v>19</v>
      </c>
      <c r="G284" t="s">
        <v>60</v>
      </c>
      <c r="H284">
        <v>1</v>
      </c>
      <c r="I284">
        <v>25999</v>
      </c>
      <c r="J284">
        <v>0</v>
      </c>
      <c r="K284" s="3">
        <v>30000</v>
      </c>
      <c r="L284" t="s">
        <v>552</v>
      </c>
      <c r="M284" t="s">
        <v>16</v>
      </c>
      <c r="N284">
        <v>25999</v>
      </c>
      <c r="O284">
        <f t="shared" si="12"/>
        <v>25999</v>
      </c>
      <c r="P284" t="str">
        <f t="shared" si="13"/>
        <v>01-2024</v>
      </c>
      <c r="Q284" t="str">
        <f t="shared" si="14"/>
        <v>High</v>
      </c>
    </row>
    <row r="285" spans="1:17" x14ac:dyDescent="0.3">
      <c r="A285" t="s">
        <v>272</v>
      </c>
      <c r="B285" s="5">
        <v>45306</v>
      </c>
      <c r="C285" t="s">
        <v>552</v>
      </c>
      <c r="D285" t="s">
        <v>23</v>
      </c>
      <c r="E285" t="s">
        <v>552</v>
      </c>
      <c r="F285" t="s">
        <v>552</v>
      </c>
      <c r="G285" t="s">
        <v>20</v>
      </c>
      <c r="H285">
        <v>3</v>
      </c>
      <c r="I285">
        <v>25999</v>
      </c>
      <c r="J285">
        <v>50</v>
      </c>
      <c r="K285" s="3">
        <v>0</v>
      </c>
      <c r="L285" t="s">
        <v>53</v>
      </c>
      <c r="M285" t="s">
        <v>16</v>
      </c>
      <c r="N285">
        <v>25998</v>
      </c>
      <c r="O285">
        <f t="shared" si="12"/>
        <v>77997</v>
      </c>
      <c r="P285" t="str">
        <f t="shared" si="13"/>
        <v>01-2024</v>
      </c>
      <c r="Q285" t="str">
        <f t="shared" si="14"/>
        <v>High</v>
      </c>
    </row>
    <row r="286" spans="1:17" x14ac:dyDescent="0.3">
      <c r="A286" t="s">
        <v>321</v>
      </c>
      <c r="C286" t="s">
        <v>552</v>
      </c>
      <c r="D286" t="s">
        <v>23</v>
      </c>
      <c r="E286" t="s">
        <v>18</v>
      </c>
      <c r="F286" t="s">
        <v>19</v>
      </c>
      <c r="G286" t="s">
        <v>28</v>
      </c>
      <c r="H286">
        <v>1</v>
      </c>
      <c r="I286">
        <v>7830.7177904328155</v>
      </c>
      <c r="J286">
        <v>10</v>
      </c>
      <c r="K286" s="3">
        <v>30000</v>
      </c>
      <c r="L286" t="s">
        <v>39</v>
      </c>
      <c r="M286" t="s">
        <v>552</v>
      </c>
      <c r="N286">
        <v>7047.6460113895337</v>
      </c>
      <c r="O286">
        <f t="shared" si="12"/>
        <v>7830.7177904328155</v>
      </c>
      <c r="P286" t="str">
        <f t="shared" si="13"/>
        <v>01-1900</v>
      </c>
      <c r="Q286" t="str">
        <f t="shared" si="14"/>
        <v>Normal</v>
      </c>
    </row>
    <row r="287" spans="1:17" x14ac:dyDescent="0.3">
      <c r="A287" t="s">
        <v>322</v>
      </c>
      <c r="B287" s="5">
        <v>45337</v>
      </c>
      <c r="C287" t="s">
        <v>22</v>
      </c>
      <c r="D287" t="s">
        <v>52</v>
      </c>
      <c r="E287" t="s">
        <v>552</v>
      </c>
      <c r="F287" t="s">
        <v>19</v>
      </c>
      <c r="G287" t="s">
        <v>28</v>
      </c>
      <c r="H287">
        <v>1</v>
      </c>
      <c r="I287">
        <v>499.99</v>
      </c>
      <c r="J287">
        <v>50</v>
      </c>
      <c r="K287" s="3">
        <v>0</v>
      </c>
      <c r="L287" t="s">
        <v>53</v>
      </c>
      <c r="M287" t="s">
        <v>30</v>
      </c>
      <c r="N287">
        <v>249.995</v>
      </c>
      <c r="O287">
        <f t="shared" si="12"/>
        <v>499.99</v>
      </c>
      <c r="P287" t="str">
        <f t="shared" si="13"/>
        <v>02-2024</v>
      </c>
      <c r="Q287" t="str">
        <f t="shared" si="14"/>
        <v>Normal</v>
      </c>
    </row>
    <row r="288" spans="1:17" x14ac:dyDescent="0.3">
      <c r="A288" t="s">
        <v>323</v>
      </c>
      <c r="B288" s="5">
        <v>45337</v>
      </c>
      <c r="C288" t="s">
        <v>552</v>
      </c>
      <c r="D288" t="s">
        <v>23</v>
      </c>
      <c r="E288" t="s">
        <v>552</v>
      </c>
      <c r="F288" t="s">
        <v>19</v>
      </c>
      <c r="G288" t="s">
        <v>20</v>
      </c>
      <c r="H288">
        <v>1</v>
      </c>
      <c r="I288">
        <v>7830.7177904328155</v>
      </c>
      <c r="J288">
        <v>0</v>
      </c>
      <c r="K288" s="3">
        <v>0</v>
      </c>
      <c r="L288" t="s">
        <v>53</v>
      </c>
      <c r="M288" t="s">
        <v>30</v>
      </c>
      <c r="N288">
        <v>7830.7177904328155</v>
      </c>
      <c r="O288">
        <f t="shared" si="12"/>
        <v>7830.7177904328155</v>
      </c>
      <c r="P288" t="str">
        <f t="shared" si="13"/>
        <v>02-2024</v>
      </c>
      <c r="Q288" t="str">
        <f t="shared" si="14"/>
        <v>Normal</v>
      </c>
    </row>
    <row r="289" spans="1:17" x14ac:dyDescent="0.3">
      <c r="A289" t="s">
        <v>324</v>
      </c>
      <c r="C289" t="s">
        <v>12</v>
      </c>
      <c r="D289" t="s">
        <v>52</v>
      </c>
      <c r="E289" t="s">
        <v>36</v>
      </c>
      <c r="F289" t="s">
        <v>19</v>
      </c>
      <c r="G289" t="s">
        <v>28</v>
      </c>
      <c r="H289">
        <v>1</v>
      </c>
      <c r="I289">
        <v>7830.7177904328155</v>
      </c>
      <c r="J289">
        <v>5</v>
      </c>
      <c r="K289" s="3">
        <v>-500</v>
      </c>
      <c r="L289" t="s">
        <v>552</v>
      </c>
      <c r="M289" t="s">
        <v>552</v>
      </c>
      <c r="N289">
        <v>7439.1819009111741</v>
      </c>
      <c r="O289">
        <f t="shared" si="12"/>
        <v>7830.7177904328155</v>
      </c>
      <c r="P289" t="str">
        <f t="shared" si="13"/>
        <v>01-1900</v>
      </c>
      <c r="Q289" t="str">
        <f t="shared" si="14"/>
        <v>Normal</v>
      </c>
    </row>
    <row r="290" spans="1:17" x14ac:dyDescent="0.3">
      <c r="A290" t="s">
        <v>325</v>
      </c>
      <c r="C290" t="s">
        <v>32</v>
      </c>
      <c r="D290" t="s">
        <v>23</v>
      </c>
      <c r="E290" t="s">
        <v>552</v>
      </c>
      <c r="F290" t="s">
        <v>552</v>
      </c>
      <c r="G290" t="s">
        <v>47</v>
      </c>
      <c r="H290">
        <v>1</v>
      </c>
      <c r="I290">
        <v>25999</v>
      </c>
      <c r="J290">
        <v>5</v>
      </c>
      <c r="K290" s="3">
        <v>-500</v>
      </c>
      <c r="L290" t="s">
        <v>552</v>
      </c>
      <c r="M290" t="s">
        <v>37</v>
      </c>
      <c r="N290">
        <v>24699.05</v>
      </c>
      <c r="O290">
        <f t="shared" si="12"/>
        <v>25999</v>
      </c>
      <c r="P290" t="str">
        <f t="shared" si="13"/>
        <v>01-1900</v>
      </c>
      <c r="Q290" t="str">
        <f t="shared" si="14"/>
        <v>High</v>
      </c>
    </row>
    <row r="291" spans="1:17" x14ac:dyDescent="0.3">
      <c r="A291" t="s">
        <v>326</v>
      </c>
      <c r="B291" s="5">
        <v>45337</v>
      </c>
      <c r="C291" t="s">
        <v>32</v>
      </c>
      <c r="D291" t="s">
        <v>13</v>
      </c>
      <c r="E291" t="s">
        <v>36</v>
      </c>
      <c r="F291" t="s">
        <v>19</v>
      </c>
      <c r="G291" t="s">
        <v>28</v>
      </c>
      <c r="H291">
        <v>1</v>
      </c>
      <c r="I291">
        <v>7830.7177904328155</v>
      </c>
      <c r="J291">
        <v>0</v>
      </c>
      <c r="K291" s="3">
        <v>30000</v>
      </c>
      <c r="L291" t="s">
        <v>39</v>
      </c>
      <c r="M291" t="s">
        <v>33</v>
      </c>
      <c r="N291">
        <v>7830.7177904328155</v>
      </c>
      <c r="O291">
        <f t="shared" si="12"/>
        <v>7830.7177904328155</v>
      </c>
      <c r="P291" t="str">
        <f t="shared" si="13"/>
        <v>02-2024</v>
      </c>
      <c r="Q291" t="str">
        <f t="shared" si="14"/>
        <v>Normal</v>
      </c>
    </row>
    <row r="292" spans="1:17" x14ac:dyDescent="0.3">
      <c r="A292" t="s">
        <v>327</v>
      </c>
      <c r="B292" s="5">
        <v>45306</v>
      </c>
      <c r="C292" t="s">
        <v>552</v>
      </c>
      <c r="D292" t="s">
        <v>44</v>
      </c>
      <c r="E292" t="s">
        <v>18</v>
      </c>
      <c r="F292" t="s">
        <v>14</v>
      </c>
      <c r="G292" t="s">
        <v>28</v>
      </c>
      <c r="H292">
        <v>2</v>
      </c>
      <c r="I292">
        <v>799.5</v>
      </c>
      <c r="J292">
        <v>0</v>
      </c>
      <c r="K292" s="3">
        <v>30000</v>
      </c>
      <c r="L292" t="s">
        <v>552</v>
      </c>
      <c r="M292" t="s">
        <v>552</v>
      </c>
      <c r="N292">
        <v>1599</v>
      </c>
      <c r="O292">
        <f t="shared" si="12"/>
        <v>1599</v>
      </c>
      <c r="P292" t="str">
        <f t="shared" si="13"/>
        <v>01-2024</v>
      </c>
      <c r="Q292" t="str">
        <f t="shared" si="14"/>
        <v>Normal</v>
      </c>
    </row>
    <row r="293" spans="1:17" x14ac:dyDescent="0.3">
      <c r="A293" t="s">
        <v>328</v>
      </c>
      <c r="B293" s="5">
        <v>45306</v>
      </c>
      <c r="C293" t="s">
        <v>552</v>
      </c>
      <c r="D293" t="s">
        <v>552</v>
      </c>
      <c r="E293" t="s">
        <v>552</v>
      </c>
      <c r="F293" t="s">
        <v>552</v>
      </c>
      <c r="G293" t="s">
        <v>552</v>
      </c>
      <c r="H293">
        <v>1</v>
      </c>
      <c r="I293">
        <v>7830.7177904328155</v>
      </c>
      <c r="J293">
        <v>0</v>
      </c>
      <c r="K293" s="3">
        <v>-500</v>
      </c>
      <c r="L293" t="s">
        <v>552</v>
      </c>
      <c r="M293" t="s">
        <v>37</v>
      </c>
      <c r="N293">
        <v>7830.7177904328155</v>
      </c>
      <c r="O293">
        <f t="shared" si="12"/>
        <v>7830.7177904328155</v>
      </c>
      <c r="P293" t="str">
        <f t="shared" si="13"/>
        <v>01-2024</v>
      </c>
      <c r="Q293" t="str">
        <f t="shared" si="14"/>
        <v>Normal</v>
      </c>
    </row>
    <row r="294" spans="1:17" x14ac:dyDescent="0.3">
      <c r="A294" t="s">
        <v>329</v>
      </c>
      <c r="C294" t="s">
        <v>32</v>
      </c>
      <c r="D294" t="s">
        <v>23</v>
      </c>
      <c r="E294" t="s">
        <v>552</v>
      </c>
      <c r="F294" t="s">
        <v>19</v>
      </c>
      <c r="G294" t="s">
        <v>47</v>
      </c>
      <c r="H294">
        <v>3</v>
      </c>
      <c r="I294">
        <v>799.5</v>
      </c>
      <c r="J294">
        <v>5</v>
      </c>
      <c r="K294" s="3">
        <v>0</v>
      </c>
      <c r="L294" t="s">
        <v>39</v>
      </c>
      <c r="M294" t="s">
        <v>30</v>
      </c>
      <c r="N294">
        <v>2278.5749999999998</v>
      </c>
      <c r="O294">
        <f t="shared" si="12"/>
        <v>2398.5</v>
      </c>
      <c r="P294" t="str">
        <f t="shared" si="13"/>
        <v>01-1900</v>
      </c>
      <c r="Q294" t="str">
        <f t="shared" si="14"/>
        <v>Normal</v>
      </c>
    </row>
    <row r="295" spans="1:17" x14ac:dyDescent="0.3">
      <c r="A295" t="s">
        <v>330</v>
      </c>
      <c r="C295" t="s">
        <v>552</v>
      </c>
      <c r="D295" t="s">
        <v>23</v>
      </c>
      <c r="E295" t="s">
        <v>24</v>
      </c>
      <c r="F295" t="s">
        <v>25</v>
      </c>
      <c r="G295" t="s">
        <v>15</v>
      </c>
      <c r="H295">
        <v>1</v>
      </c>
      <c r="I295">
        <v>799.5</v>
      </c>
      <c r="J295">
        <v>50</v>
      </c>
      <c r="K295" s="3">
        <v>-500</v>
      </c>
      <c r="L295" t="s">
        <v>49</v>
      </c>
      <c r="M295" t="s">
        <v>30</v>
      </c>
      <c r="N295">
        <v>399.75</v>
      </c>
      <c r="O295">
        <f t="shared" si="12"/>
        <v>799.5</v>
      </c>
      <c r="P295" t="str">
        <f t="shared" si="13"/>
        <v>01-1900</v>
      </c>
      <c r="Q295" t="str">
        <f t="shared" si="14"/>
        <v>Normal</v>
      </c>
    </row>
    <row r="296" spans="1:17" x14ac:dyDescent="0.3">
      <c r="A296" t="s">
        <v>331</v>
      </c>
      <c r="B296" s="5">
        <v>45306</v>
      </c>
      <c r="C296" t="s">
        <v>12</v>
      </c>
      <c r="D296" t="s">
        <v>44</v>
      </c>
      <c r="E296" t="s">
        <v>36</v>
      </c>
      <c r="F296" t="s">
        <v>25</v>
      </c>
      <c r="G296" t="s">
        <v>28</v>
      </c>
      <c r="H296">
        <v>2</v>
      </c>
      <c r="I296">
        <v>499.99</v>
      </c>
      <c r="J296">
        <v>15</v>
      </c>
      <c r="K296" s="3">
        <v>-500</v>
      </c>
      <c r="L296" t="s">
        <v>29</v>
      </c>
      <c r="M296" t="s">
        <v>33</v>
      </c>
      <c r="N296">
        <v>849.98299999999995</v>
      </c>
      <c r="O296">
        <f t="shared" si="12"/>
        <v>999.98</v>
      </c>
      <c r="P296" t="str">
        <f t="shared" si="13"/>
        <v>01-2024</v>
      </c>
      <c r="Q296" t="str">
        <f t="shared" si="14"/>
        <v>Normal</v>
      </c>
    </row>
    <row r="297" spans="1:17" x14ac:dyDescent="0.3">
      <c r="A297" t="s">
        <v>332</v>
      </c>
      <c r="C297" t="s">
        <v>12</v>
      </c>
      <c r="D297" t="s">
        <v>23</v>
      </c>
      <c r="E297" t="s">
        <v>24</v>
      </c>
      <c r="F297" t="s">
        <v>552</v>
      </c>
      <c r="G297" t="s">
        <v>15</v>
      </c>
      <c r="H297">
        <v>3</v>
      </c>
      <c r="I297">
        <v>499.99</v>
      </c>
      <c r="J297">
        <v>0</v>
      </c>
      <c r="K297" s="3">
        <v>15000</v>
      </c>
      <c r="L297" t="s">
        <v>53</v>
      </c>
      <c r="M297" t="s">
        <v>37</v>
      </c>
      <c r="N297">
        <v>1499.97</v>
      </c>
      <c r="O297">
        <f t="shared" si="12"/>
        <v>1499.97</v>
      </c>
      <c r="P297" t="str">
        <f t="shared" si="13"/>
        <v>01-1900</v>
      </c>
      <c r="Q297" t="str">
        <f t="shared" si="14"/>
        <v>Normal</v>
      </c>
    </row>
    <row r="298" spans="1:17" x14ac:dyDescent="0.3">
      <c r="A298" t="s">
        <v>333</v>
      </c>
      <c r="C298" t="s">
        <v>32</v>
      </c>
      <c r="D298" t="s">
        <v>552</v>
      </c>
      <c r="E298" t="s">
        <v>552</v>
      </c>
      <c r="F298" t="s">
        <v>552</v>
      </c>
      <c r="G298" t="s">
        <v>47</v>
      </c>
      <c r="H298">
        <v>3</v>
      </c>
      <c r="I298">
        <v>499.99</v>
      </c>
      <c r="J298">
        <v>50</v>
      </c>
      <c r="K298" s="3">
        <v>0</v>
      </c>
      <c r="L298" t="s">
        <v>552</v>
      </c>
      <c r="M298" t="s">
        <v>552</v>
      </c>
      <c r="N298">
        <v>749.98500000000001</v>
      </c>
      <c r="O298">
        <f t="shared" si="12"/>
        <v>1499.97</v>
      </c>
      <c r="P298" t="str">
        <f t="shared" si="13"/>
        <v>01-1900</v>
      </c>
      <c r="Q298" t="str">
        <f t="shared" si="14"/>
        <v>Normal</v>
      </c>
    </row>
    <row r="299" spans="1:17" x14ac:dyDescent="0.3">
      <c r="A299" t="s">
        <v>313</v>
      </c>
      <c r="B299" s="5">
        <v>45306</v>
      </c>
      <c r="C299" t="s">
        <v>552</v>
      </c>
      <c r="D299" t="s">
        <v>52</v>
      </c>
      <c r="E299" t="s">
        <v>18</v>
      </c>
      <c r="F299" t="s">
        <v>14</v>
      </c>
      <c r="G299" t="s">
        <v>20</v>
      </c>
      <c r="H299">
        <v>3</v>
      </c>
      <c r="I299">
        <v>7830.7177904328155</v>
      </c>
      <c r="J299">
        <v>15</v>
      </c>
      <c r="K299" s="3">
        <v>0</v>
      </c>
      <c r="L299" t="s">
        <v>29</v>
      </c>
      <c r="M299" t="s">
        <v>33</v>
      </c>
      <c r="N299">
        <v>23492.153371298446</v>
      </c>
      <c r="O299">
        <f t="shared" si="12"/>
        <v>23492.153371298446</v>
      </c>
      <c r="P299" t="str">
        <f t="shared" si="13"/>
        <v>01-2024</v>
      </c>
      <c r="Q299" t="str">
        <f t="shared" si="14"/>
        <v>High</v>
      </c>
    </row>
    <row r="300" spans="1:17" x14ac:dyDescent="0.3">
      <c r="A300" t="s">
        <v>335</v>
      </c>
      <c r="B300" s="5">
        <v>45337</v>
      </c>
      <c r="C300" t="s">
        <v>552</v>
      </c>
      <c r="D300" t="s">
        <v>13</v>
      </c>
      <c r="E300" t="s">
        <v>36</v>
      </c>
      <c r="F300" t="s">
        <v>19</v>
      </c>
      <c r="G300" t="s">
        <v>20</v>
      </c>
      <c r="H300">
        <v>1</v>
      </c>
      <c r="I300">
        <v>499.99</v>
      </c>
      <c r="J300">
        <v>10</v>
      </c>
      <c r="K300" s="3">
        <v>30000</v>
      </c>
      <c r="L300" t="s">
        <v>552</v>
      </c>
      <c r="M300" t="s">
        <v>30</v>
      </c>
      <c r="N300">
        <v>449.99100000000004</v>
      </c>
      <c r="O300">
        <f t="shared" si="12"/>
        <v>499.99</v>
      </c>
      <c r="P300" t="str">
        <f t="shared" si="13"/>
        <v>02-2024</v>
      </c>
      <c r="Q300" t="str">
        <f t="shared" si="14"/>
        <v>Normal</v>
      </c>
    </row>
    <row r="301" spans="1:17" x14ac:dyDescent="0.3">
      <c r="A301" t="s">
        <v>336</v>
      </c>
      <c r="C301" t="s">
        <v>32</v>
      </c>
      <c r="D301" t="s">
        <v>23</v>
      </c>
      <c r="E301" t="s">
        <v>18</v>
      </c>
      <c r="F301" t="s">
        <v>25</v>
      </c>
      <c r="G301" t="s">
        <v>60</v>
      </c>
      <c r="H301">
        <v>3</v>
      </c>
      <c r="I301">
        <v>799.5</v>
      </c>
      <c r="J301">
        <v>5</v>
      </c>
      <c r="K301" s="3">
        <v>0</v>
      </c>
      <c r="L301" t="s">
        <v>39</v>
      </c>
      <c r="M301" t="s">
        <v>552</v>
      </c>
      <c r="N301">
        <v>2278.5749999999998</v>
      </c>
      <c r="O301">
        <f t="shared" si="12"/>
        <v>2398.5</v>
      </c>
      <c r="P301" t="str">
        <f t="shared" si="13"/>
        <v>01-1900</v>
      </c>
      <c r="Q301" t="str">
        <f t="shared" si="14"/>
        <v>Normal</v>
      </c>
    </row>
    <row r="302" spans="1:17" x14ac:dyDescent="0.3">
      <c r="A302" t="s">
        <v>319</v>
      </c>
      <c r="B302" s="5">
        <v>45306</v>
      </c>
      <c r="C302" t="s">
        <v>552</v>
      </c>
      <c r="D302" t="s">
        <v>23</v>
      </c>
      <c r="E302" t="s">
        <v>24</v>
      </c>
      <c r="F302" t="s">
        <v>552</v>
      </c>
      <c r="G302" t="s">
        <v>60</v>
      </c>
      <c r="H302">
        <v>3</v>
      </c>
      <c r="I302">
        <v>7830.7177904328155</v>
      </c>
      <c r="J302">
        <v>0</v>
      </c>
      <c r="K302" s="3">
        <v>-500</v>
      </c>
      <c r="L302" t="s">
        <v>53</v>
      </c>
      <c r="M302" t="s">
        <v>552</v>
      </c>
      <c r="N302">
        <v>23492.153371298446</v>
      </c>
      <c r="O302">
        <f t="shared" si="12"/>
        <v>23492.153371298446</v>
      </c>
      <c r="P302" t="str">
        <f t="shared" si="13"/>
        <v>01-2024</v>
      </c>
      <c r="Q302" t="str">
        <f t="shared" si="14"/>
        <v>High</v>
      </c>
    </row>
    <row r="303" spans="1:17" x14ac:dyDescent="0.3">
      <c r="A303" t="s">
        <v>349</v>
      </c>
      <c r="B303" s="5">
        <v>45306</v>
      </c>
      <c r="C303" t="s">
        <v>552</v>
      </c>
      <c r="D303" t="s">
        <v>44</v>
      </c>
      <c r="E303" t="s">
        <v>552</v>
      </c>
      <c r="F303" t="s">
        <v>19</v>
      </c>
      <c r="G303" t="s">
        <v>552</v>
      </c>
      <c r="H303">
        <v>4</v>
      </c>
      <c r="I303">
        <v>12999</v>
      </c>
      <c r="J303">
        <v>0</v>
      </c>
      <c r="K303" s="3">
        <v>15000</v>
      </c>
      <c r="L303" t="s">
        <v>49</v>
      </c>
      <c r="M303" t="s">
        <v>552</v>
      </c>
      <c r="N303">
        <v>23399.100000000002</v>
      </c>
      <c r="O303">
        <f t="shared" si="12"/>
        <v>51996</v>
      </c>
      <c r="P303" t="str">
        <f t="shared" si="13"/>
        <v>01-2024</v>
      </c>
      <c r="Q303" t="str">
        <f t="shared" si="14"/>
        <v>High</v>
      </c>
    </row>
    <row r="304" spans="1:17" x14ac:dyDescent="0.3">
      <c r="A304" t="s">
        <v>339</v>
      </c>
      <c r="B304" s="5">
        <v>45337</v>
      </c>
      <c r="C304" t="s">
        <v>32</v>
      </c>
      <c r="D304" t="s">
        <v>552</v>
      </c>
      <c r="E304" t="s">
        <v>18</v>
      </c>
      <c r="F304" t="s">
        <v>19</v>
      </c>
      <c r="G304" t="s">
        <v>47</v>
      </c>
      <c r="H304">
        <v>1</v>
      </c>
      <c r="I304">
        <v>799.5</v>
      </c>
      <c r="J304">
        <v>50</v>
      </c>
      <c r="K304" s="3">
        <v>0</v>
      </c>
      <c r="L304" t="s">
        <v>552</v>
      </c>
      <c r="M304" t="s">
        <v>16</v>
      </c>
      <c r="N304">
        <v>399.75</v>
      </c>
      <c r="O304">
        <f t="shared" si="12"/>
        <v>799.5</v>
      </c>
      <c r="P304" t="str">
        <f t="shared" si="13"/>
        <v>02-2024</v>
      </c>
      <c r="Q304" t="str">
        <f t="shared" si="14"/>
        <v>Normal</v>
      </c>
    </row>
    <row r="305" spans="1:17" x14ac:dyDescent="0.3">
      <c r="A305" t="s">
        <v>340</v>
      </c>
      <c r="B305" s="5">
        <v>45306</v>
      </c>
      <c r="C305" t="s">
        <v>22</v>
      </c>
      <c r="D305" t="s">
        <v>552</v>
      </c>
      <c r="E305" t="s">
        <v>552</v>
      </c>
      <c r="F305" t="s">
        <v>25</v>
      </c>
      <c r="G305" t="s">
        <v>47</v>
      </c>
      <c r="H305">
        <v>1</v>
      </c>
      <c r="I305">
        <v>799.5</v>
      </c>
      <c r="J305">
        <v>5</v>
      </c>
      <c r="K305" s="3">
        <v>30000</v>
      </c>
      <c r="L305" t="s">
        <v>39</v>
      </c>
      <c r="M305" t="s">
        <v>552</v>
      </c>
      <c r="N305">
        <v>759.52499999999998</v>
      </c>
      <c r="O305">
        <f t="shared" si="12"/>
        <v>799.5</v>
      </c>
      <c r="P305" t="str">
        <f t="shared" si="13"/>
        <v>01-2024</v>
      </c>
      <c r="Q305" t="str">
        <f t="shared" si="14"/>
        <v>Normal</v>
      </c>
    </row>
    <row r="306" spans="1:17" x14ac:dyDescent="0.3">
      <c r="A306" t="s">
        <v>341</v>
      </c>
      <c r="B306" s="5">
        <v>45376</v>
      </c>
      <c r="C306" t="s">
        <v>552</v>
      </c>
      <c r="D306" t="s">
        <v>52</v>
      </c>
      <c r="E306" t="s">
        <v>18</v>
      </c>
      <c r="F306" t="s">
        <v>25</v>
      </c>
      <c r="G306" t="s">
        <v>552</v>
      </c>
      <c r="H306">
        <v>4</v>
      </c>
      <c r="I306">
        <v>499.99</v>
      </c>
      <c r="J306">
        <v>10</v>
      </c>
      <c r="K306" s="3">
        <v>-500</v>
      </c>
      <c r="L306" t="s">
        <v>53</v>
      </c>
      <c r="M306" t="s">
        <v>16</v>
      </c>
      <c r="N306">
        <v>1799.9640000000002</v>
      </c>
      <c r="O306">
        <f t="shared" si="12"/>
        <v>1999.96</v>
      </c>
      <c r="P306" t="str">
        <f t="shared" si="13"/>
        <v>03-2024</v>
      </c>
      <c r="Q306" t="str">
        <f t="shared" si="14"/>
        <v>Normal</v>
      </c>
    </row>
    <row r="307" spans="1:17" x14ac:dyDescent="0.3">
      <c r="A307" t="s">
        <v>342</v>
      </c>
      <c r="C307" t="s">
        <v>552</v>
      </c>
      <c r="D307" t="s">
        <v>13</v>
      </c>
      <c r="E307" t="s">
        <v>552</v>
      </c>
      <c r="F307" t="s">
        <v>19</v>
      </c>
      <c r="G307" t="s">
        <v>552</v>
      </c>
      <c r="H307">
        <v>4</v>
      </c>
      <c r="I307">
        <v>499.99</v>
      </c>
      <c r="J307">
        <v>15</v>
      </c>
      <c r="K307" s="3">
        <v>-500</v>
      </c>
      <c r="L307" t="s">
        <v>552</v>
      </c>
      <c r="M307" t="s">
        <v>33</v>
      </c>
      <c r="N307">
        <v>1699.9659999999999</v>
      </c>
      <c r="O307">
        <f t="shared" si="12"/>
        <v>1999.96</v>
      </c>
      <c r="P307" t="str">
        <f t="shared" si="13"/>
        <v>01-1900</v>
      </c>
      <c r="Q307" t="str">
        <f t="shared" si="14"/>
        <v>Normal</v>
      </c>
    </row>
    <row r="308" spans="1:17" x14ac:dyDescent="0.3">
      <c r="A308" t="s">
        <v>355</v>
      </c>
      <c r="B308" s="5">
        <v>45306</v>
      </c>
      <c r="C308" t="s">
        <v>27</v>
      </c>
      <c r="D308" t="s">
        <v>23</v>
      </c>
      <c r="E308" t="s">
        <v>24</v>
      </c>
      <c r="F308" t="s">
        <v>19</v>
      </c>
      <c r="G308" t="s">
        <v>15</v>
      </c>
      <c r="H308">
        <v>2</v>
      </c>
      <c r="I308">
        <v>25999</v>
      </c>
      <c r="J308">
        <v>15</v>
      </c>
      <c r="K308" s="3">
        <v>0</v>
      </c>
      <c r="L308" t="s">
        <v>552</v>
      </c>
      <c r="M308" t="s">
        <v>33</v>
      </c>
      <c r="N308">
        <v>23398.2</v>
      </c>
      <c r="O308">
        <f t="shared" si="12"/>
        <v>51998</v>
      </c>
      <c r="P308" t="str">
        <f t="shared" si="13"/>
        <v>01-2024</v>
      </c>
      <c r="Q308" t="str">
        <f t="shared" si="14"/>
        <v>High</v>
      </c>
    </row>
    <row r="309" spans="1:17" x14ac:dyDescent="0.3">
      <c r="A309" t="s">
        <v>374</v>
      </c>
      <c r="B309" s="5">
        <v>45306</v>
      </c>
      <c r="C309" t="s">
        <v>32</v>
      </c>
      <c r="D309" t="s">
        <v>13</v>
      </c>
      <c r="E309" t="s">
        <v>24</v>
      </c>
      <c r="F309" t="s">
        <v>552</v>
      </c>
      <c r="G309" t="s">
        <v>60</v>
      </c>
      <c r="H309">
        <v>2</v>
      </c>
      <c r="I309">
        <v>7830.7177904328155</v>
      </c>
      <c r="J309">
        <v>0</v>
      </c>
      <c r="K309" s="3">
        <v>0</v>
      </c>
      <c r="L309" t="s">
        <v>39</v>
      </c>
      <c r="M309" t="s">
        <v>33</v>
      </c>
      <c r="N309">
        <v>22099.149999999998</v>
      </c>
      <c r="O309">
        <f t="shared" si="12"/>
        <v>15661.435580865631</v>
      </c>
      <c r="P309" t="str">
        <f t="shared" si="13"/>
        <v>01-2024</v>
      </c>
      <c r="Q309" t="str">
        <f t="shared" si="14"/>
        <v>High</v>
      </c>
    </row>
    <row r="310" spans="1:17" x14ac:dyDescent="0.3">
      <c r="A310" t="s">
        <v>345</v>
      </c>
      <c r="C310" t="s">
        <v>32</v>
      </c>
      <c r="D310" t="s">
        <v>52</v>
      </c>
      <c r="E310" t="s">
        <v>36</v>
      </c>
      <c r="F310" t="s">
        <v>19</v>
      </c>
      <c r="G310" t="s">
        <v>60</v>
      </c>
      <c r="H310">
        <v>1</v>
      </c>
      <c r="I310">
        <v>799.5</v>
      </c>
      <c r="J310">
        <v>5</v>
      </c>
      <c r="K310" s="3">
        <v>499.99</v>
      </c>
      <c r="L310" t="s">
        <v>29</v>
      </c>
      <c r="M310" t="s">
        <v>552</v>
      </c>
      <c r="N310">
        <v>759.52499999999998</v>
      </c>
      <c r="O310">
        <f t="shared" si="12"/>
        <v>799.5</v>
      </c>
      <c r="P310" t="str">
        <f t="shared" si="13"/>
        <v>01-1900</v>
      </c>
      <c r="Q310" t="str">
        <f t="shared" si="14"/>
        <v>Normal</v>
      </c>
    </row>
    <row r="311" spans="1:17" x14ac:dyDescent="0.3">
      <c r="A311" t="s">
        <v>411</v>
      </c>
      <c r="B311" s="5">
        <v>45306</v>
      </c>
      <c r="C311" t="s">
        <v>552</v>
      </c>
      <c r="D311" t="s">
        <v>552</v>
      </c>
      <c r="E311" t="s">
        <v>552</v>
      </c>
      <c r="F311" t="s">
        <v>552</v>
      </c>
      <c r="G311" t="s">
        <v>47</v>
      </c>
      <c r="H311">
        <v>2</v>
      </c>
      <c r="I311">
        <v>7830.7177904328155</v>
      </c>
      <c r="J311">
        <v>0</v>
      </c>
      <c r="K311" s="3">
        <v>-500</v>
      </c>
      <c r="L311" t="s">
        <v>39</v>
      </c>
      <c r="M311" t="s">
        <v>16</v>
      </c>
      <c r="N311">
        <v>19968.330365603677</v>
      </c>
      <c r="O311">
        <f t="shared" si="12"/>
        <v>15661.435580865631</v>
      </c>
      <c r="P311" t="str">
        <f t="shared" si="13"/>
        <v>01-2024</v>
      </c>
      <c r="Q311" t="str">
        <f t="shared" si="14"/>
        <v>High</v>
      </c>
    </row>
    <row r="312" spans="1:17" x14ac:dyDescent="0.3">
      <c r="A312" t="s">
        <v>347</v>
      </c>
      <c r="B312" s="5">
        <v>45376</v>
      </c>
      <c r="C312" t="s">
        <v>552</v>
      </c>
      <c r="D312" t="s">
        <v>552</v>
      </c>
      <c r="E312" t="s">
        <v>36</v>
      </c>
      <c r="F312" t="s">
        <v>552</v>
      </c>
      <c r="G312" t="s">
        <v>552</v>
      </c>
      <c r="H312">
        <v>1</v>
      </c>
      <c r="I312">
        <v>799.5</v>
      </c>
      <c r="J312">
        <v>10</v>
      </c>
      <c r="K312" s="3">
        <v>15000</v>
      </c>
      <c r="L312" t="s">
        <v>53</v>
      </c>
      <c r="M312" t="s">
        <v>552</v>
      </c>
      <c r="N312">
        <v>719.55000000000007</v>
      </c>
      <c r="O312">
        <f t="shared" si="12"/>
        <v>799.5</v>
      </c>
      <c r="P312" t="str">
        <f t="shared" si="13"/>
        <v>03-2024</v>
      </c>
      <c r="Q312" t="str">
        <f t="shared" si="14"/>
        <v>Normal</v>
      </c>
    </row>
    <row r="313" spans="1:17" x14ac:dyDescent="0.3">
      <c r="A313" t="s">
        <v>348</v>
      </c>
      <c r="B313" s="5">
        <v>45337</v>
      </c>
      <c r="C313" t="s">
        <v>552</v>
      </c>
      <c r="D313" t="s">
        <v>13</v>
      </c>
      <c r="E313" t="s">
        <v>18</v>
      </c>
      <c r="F313" t="s">
        <v>19</v>
      </c>
      <c r="G313" t="s">
        <v>20</v>
      </c>
      <c r="H313">
        <v>1</v>
      </c>
      <c r="I313">
        <v>7830.7177904328155</v>
      </c>
      <c r="J313">
        <v>0</v>
      </c>
      <c r="K313" s="3">
        <v>0</v>
      </c>
      <c r="L313" t="s">
        <v>53</v>
      </c>
      <c r="M313" t="s">
        <v>552</v>
      </c>
      <c r="N313">
        <v>7830.7177904328155</v>
      </c>
      <c r="O313">
        <f t="shared" si="12"/>
        <v>7830.7177904328155</v>
      </c>
      <c r="P313" t="str">
        <f t="shared" si="13"/>
        <v>02-2024</v>
      </c>
      <c r="Q313" t="str">
        <f t="shared" si="14"/>
        <v>Normal</v>
      </c>
    </row>
    <row r="314" spans="1:17" x14ac:dyDescent="0.3">
      <c r="A314" t="s">
        <v>433</v>
      </c>
      <c r="B314" s="5">
        <v>45306</v>
      </c>
      <c r="C314" t="s">
        <v>12</v>
      </c>
      <c r="D314" t="s">
        <v>44</v>
      </c>
      <c r="E314" t="s">
        <v>552</v>
      </c>
      <c r="F314" t="s">
        <v>552</v>
      </c>
      <c r="G314" t="s">
        <v>60</v>
      </c>
      <c r="H314">
        <v>2</v>
      </c>
      <c r="I314">
        <v>12999</v>
      </c>
      <c r="J314">
        <v>10</v>
      </c>
      <c r="K314" s="3">
        <v>-500</v>
      </c>
      <c r="L314" t="s">
        <v>39</v>
      </c>
      <c r="M314" t="s">
        <v>16</v>
      </c>
      <c r="N314">
        <v>15661.435580865631</v>
      </c>
      <c r="O314">
        <f t="shared" si="12"/>
        <v>25998</v>
      </c>
      <c r="P314" t="str">
        <f t="shared" si="13"/>
        <v>01-2024</v>
      </c>
      <c r="Q314" t="str">
        <f t="shared" si="14"/>
        <v>High</v>
      </c>
    </row>
    <row r="315" spans="1:17" x14ac:dyDescent="0.3">
      <c r="A315" t="s">
        <v>350</v>
      </c>
      <c r="C315" t="s">
        <v>552</v>
      </c>
      <c r="D315" t="s">
        <v>44</v>
      </c>
      <c r="E315" t="s">
        <v>552</v>
      </c>
      <c r="F315" t="s">
        <v>552</v>
      </c>
      <c r="G315" t="s">
        <v>552</v>
      </c>
      <c r="H315">
        <v>1</v>
      </c>
      <c r="I315">
        <v>499.99</v>
      </c>
      <c r="J315">
        <v>0</v>
      </c>
      <c r="K315" s="3">
        <v>30000</v>
      </c>
      <c r="L315" t="s">
        <v>552</v>
      </c>
      <c r="M315" t="s">
        <v>37</v>
      </c>
      <c r="N315">
        <v>499.99</v>
      </c>
      <c r="O315">
        <f t="shared" si="12"/>
        <v>499.99</v>
      </c>
      <c r="P315" t="str">
        <f t="shared" si="13"/>
        <v>01-1900</v>
      </c>
      <c r="Q315" t="str">
        <f t="shared" si="14"/>
        <v>Normal</v>
      </c>
    </row>
    <row r="316" spans="1:17" x14ac:dyDescent="0.3">
      <c r="A316" t="s">
        <v>351</v>
      </c>
      <c r="B316" s="5">
        <v>45376</v>
      </c>
      <c r="C316" t="s">
        <v>552</v>
      </c>
      <c r="D316" t="s">
        <v>44</v>
      </c>
      <c r="E316" t="s">
        <v>552</v>
      </c>
      <c r="F316" t="s">
        <v>552</v>
      </c>
      <c r="G316" t="s">
        <v>28</v>
      </c>
      <c r="H316">
        <v>1</v>
      </c>
      <c r="I316">
        <v>799.5</v>
      </c>
      <c r="J316">
        <v>15</v>
      </c>
      <c r="K316" s="3">
        <v>0</v>
      </c>
      <c r="L316" t="s">
        <v>39</v>
      </c>
      <c r="M316" t="s">
        <v>33</v>
      </c>
      <c r="N316">
        <v>679.57499999999993</v>
      </c>
      <c r="O316">
        <f t="shared" si="12"/>
        <v>799.5</v>
      </c>
      <c r="P316" t="str">
        <f t="shared" si="13"/>
        <v>03-2024</v>
      </c>
      <c r="Q316" t="str">
        <f t="shared" si="14"/>
        <v>Normal</v>
      </c>
    </row>
    <row r="317" spans="1:17" x14ac:dyDescent="0.3">
      <c r="A317" t="s">
        <v>352</v>
      </c>
      <c r="C317" t="s">
        <v>552</v>
      </c>
      <c r="D317" t="s">
        <v>52</v>
      </c>
      <c r="E317" t="s">
        <v>24</v>
      </c>
      <c r="F317" t="s">
        <v>552</v>
      </c>
      <c r="G317" t="s">
        <v>60</v>
      </c>
      <c r="H317">
        <v>2</v>
      </c>
      <c r="I317">
        <v>799.5</v>
      </c>
      <c r="J317">
        <v>10</v>
      </c>
      <c r="K317" s="3">
        <v>15000</v>
      </c>
      <c r="L317" t="s">
        <v>552</v>
      </c>
      <c r="M317" t="s">
        <v>16</v>
      </c>
      <c r="N317">
        <v>1439.1000000000001</v>
      </c>
      <c r="O317">
        <f t="shared" si="12"/>
        <v>1599</v>
      </c>
      <c r="P317" t="str">
        <f t="shared" si="13"/>
        <v>01-1900</v>
      </c>
      <c r="Q317" t="str">
        <f t="shared" si="14"/>
        <v>Normal</v>
      </c>
    </row>
    <row r="318" spans="1:17" x14ac:dyDescent="0.3">
      <c r="A318" t="s">
        <v>353</v>
      </c>
      <c r="B318" s="5">
        <v>45337</v>
      </c>
      <c r="C318" t="s">
        <v>552</v>
      </c>
      <c r="D318" t="s">
        <v>23</v>
      </c>
      <c r="E318" t="s">
        <v>552</v>
      </c>
      <c r="F318" t="s">
        <v>552</v>
      </c>
      <c r="G318" t="s">
        <v>552</v>
      </c>
      <c r="H318">
        <v>2</v>
      </c>
      <c r="I318">
        <v>799.5</v>
      </c>
      <c r="J318">
        <v>5</v>
      </c>
      <c r="K318" s="3">
        <v>-500</v>
      </c>
      <c r="L318" t="s">
        <v>552</v>
      </c>
      <c r="M318" t="s">
        <v>16</v>
      </c>
      <c r="N318">
        <v>1519.05</v>
      </c>
      <c r="O318">
        <f t="shared" si="12"/>
        <v>1599</v>
      </c>
      <c r="P318" t="str">
        <f t="shared" si="13"/>
        <v>02-2024</v>
      </c>
      <c r="Q318" t="str">
        <f t="shared" si="14"/>
        <v>Normal</v>
      </c>
    </row>
    <row r="319" spans="1:17" x14ac:dyDescent="0.3">
      <c r="A319" t="s">
        <v>354</v>
      </c>
      <c r="B319" s="5">
        <v>45337</v>
      </c>
      <c r="C319" t="s">
        <v>27</v>
      </c>
      <c r="D319" t="s">
        <v>552</v>
      </c>
      <c r="E319" t="s">
        <v>552</v>
      </c>
      <c r="F319" t="s">
        <v>14</v>
      </c>
      <c r="G319" t="s">
        <v>552</v>
      </c>
      <c r="H319">
        <v>1</v>
      </c>
      <c r="I319">
        <v>499.99</v>
      </c>
      <c r="J319">
        <v>0</v>
      </c>
      <c r="K319" s="3">
        <v>0</v>
      </c>
      <c r="L319" t="s">
        <v>39</v>
      </c>
      <c r="M319" t="s">
        <v>37</v>
      </c>
      <c r="N319">
        <v>499.99</v>
      </c>
      <c r="O319">
        <f t="shared" si="12"/>
        <v>499.99</v>
      </c>
      <c r="P319" t="str">
        <f t="shared" si="13"/>
        <v>02-2024</v>
      </c>
      <c r="Q319" t="str">
        <f t="shared" si="14"/>
        <v>Normal</v>
      </c>
    </row>
    <row r="320" spans="1:17" x14ac:dyDescent="0.3">
      <c r="A320" t="s">
        <v>436</v>
      </c>
      <c r="B320" s="5">
        <v>45306</v>
      </c>
      <c r="C320" t="s">
        <v>27</v>
      </c>
      <c r="D320" t="s">
        <v>23</v>
      </c>
      <c r="E320" t="s">
        <v>36</v>
      </c>
      <c r="F320" t="s">
        <v>552</v>
      </c>
      <c r="G320" t="s">
        <v>47</v>
      </c>
      <c r="H320">
        <v>2</v>
      </c>
      <c r="I320">
        <v>25999</v>
      </c>
      <c r="J320">
        <v>50</v>
      </c>
      <c r="K320" s="3">
        <v>499.99</v>
      </c>
      <c r="L320" t="s">
        <v>49</v>
      </c>
      <c r="M320" t="s">
        <v>16</v>
      </c>
      <c r="N320">
        <v>15661.435580865631</v>
      </c>
      <c r="O320">
        <f t="shared" si="12"/>
        <v>51998</v>
      </c>
      <c r="P320" t="str">
        <f t="shared" si="13"/>
        <v>01-2024</v>
      </c>
      <c r="Q320" t="str">
        <f t="shared" si="14"/>
        <v>High</v>
      </c>
    </row>
    <row r="321" spans="1:17" x14ac:dyDescent="0.3">
      <c r="A321" t="s">
        <v>448</v>
      </c>
      <c r="B321" s="5">
        <v>45306</v>
      </c>
      <c r="C321" t="s">
        <v>552</v>
      </c>
      <c r="D321" t="s">
        <v>552</v>
      </c>
      <c r="E321" t="s">
        <v>18</v>
      </c>
      <c r="F321" t="s">
        <v>552</v>
      </c>
      <c r="G321" t="s">
        <v>47</v>
      </c>
      <c r="H321">
        <v>1</v>
      </c>
      <c r="I321">
        <v>25999</v>
      </c>
      <c r="J321">
        <v>15</v>
      </c>
      <c r="K321" s="3">
        <v>15000</v>
      </c>
      <c r="L321" t="s">
        <v>53</v>
      </c>
      <c r="M321" t="s">
        <v>552</v>
      </c>
      <c r="N321">
        <v>15661.435580865631</v>
      </c>
      <c r="O321">
        <f t="shared" si="12"/>
        <v>25999</v>
      </c>
      <c r="P321" t="str">
        <f t="shared" si="13"/>
        <v>01-2024</v>
      </c>
      <c r="Q321" t="str">
        <f t="shared" si="14"/>
        <v>High</v>
      </c>
    </row>
    <row r="322" spans="1:17" x14ac:dyDescent="0.3">
      <c r="A322" t="s">
        <v>357</v>
      </c>
      <c r="C322" t="s">
        <v>22</v>
      </c>
      <c r="D322" t="s">
        <v>13</v>
      </c>
      <c r="E322" t="s">
        <v>36</v>
      </c>
      <c r="F322" t="s">
        <v>25</v>
      </c>
      <c r="G322" t="s">
        <v>552</v>
      </c>
      <c r="H322">
        <v>3</v>
      </c>
      <c r="I322">
        <v>499.99</v>
      </c>
      <c r="J322">
        <v>0</v>
      </c>
      <c r="K322" s="3">
        <v>0</v>
      </c>
      <c r="L322" t="s">
        <v>552</v>
      </c>
      <c r="M322" t="s">
        <v>552</v>
      </c>
      <c r="N322">
        <v>1499.97</v>
      </c>
      <c r="O322">
        <f t="shared" ref="O322:O385" si="15">H322*I322</f>
        <v>1499.97</v>
      </c>
      <c r="P322" t="str">
        <f t="shared" ref="P322:P385" si="16">TEXT(B322,"MM-YYYY")</f>
        <v>01-1900</v>
      </c>
      <c r="Q322" t="str">
        <f t="shared" ref="Q322:Q385" si="17">IF(N322&gt;10000,"High","Normal")</f>
        <v>Normal</v>
      </c>
    </row>
    <row r="323" spans="1:17" x14ac:dyDescent="0.3">
      <c r="A323" t="s">
        <v>358</v>
      </c>
      <c r="B323" s="5">
        <v>45337</v>
      </c>
      <c r="C323" t="s">
        <v>32</v>
      </c>
      <c r="D323" t="s">
        <v>13</v>
      </c>
      <c r="E323" t="s">
        <v>36</v>
      </c>
      <c r="F323" t="s">
        <v>552</v>
      </c>
      <c r="G323" t="s">
        <v>28</v>
      </c>
      <c r="H323">
        <v>1</v>
      </c>
      <c r="I323">
        <v>799.5</v>
      </c>
      <c r="J323">
        <v>10</v>
      </c>
      <c r="K323" s="3">
        <v>-500</v>
      </c>
      <c r="L323" t="s">
        <v>49</v>
      </c>
      <c r="M323" t="s">
        <v>552</v>
      </c>
      <c r="N323">
        <v>719.55000000000007</v>
      </c>
      <c r="O323">
        <f t="shared" si="15"/>
        <v>799.5</v>
      </c>
      <c r="P323" t="str">
        <f t="shared" si="16"/>
        <v>02-2024</v>
      </c>
      <c r="Q323" t="str">
        <f t="shared" si="17"/>
        <v>Normal</v>
      </c>
    </row>
    <row r="324" spans="1:17" x14ac:dyDescent="0.3">
      <c r="A324" t="s">
        <v>359</v>
      </c>
      <c r="C324" t="s">
        <v>552</v>
      </c>
      <c r="D324" t="s">
        <v>52</v>
      </c>
      <c r="E324" t="s">
        <v>18</v>
      </c>
      <c r="F324" t="s">
        <v>19</v>
      </c>
      <c r="G324" t="s">
        <v>552</v>
      </c>
      <c r="H324">
        <v>3</v>
      </c>
      <c r="I324">
        <v>499.99</v>
      </c>
      <c r="J324">
        <v>0</v>
      </c>
      <c r="K324" s="3">
        <v>-500</v>
      </c>
      <c r="L324" t="s">
        <v>552</v>
      </c>
      <c r="M324" t="s">
        <v>33</v>
      </c>
      <c r="N324">
        <v>1499.97</v>
      </c>
      <c r="O324">
        <f t="shared" si="15"/>
        <v>1499.97</v>
      </c>
      <c r="P324" t="str">
        <f t="shared" si="16"/>
        <v>01-1900</v>
      </c>
      <c r="Q324" t="str">
        <f t="shared" si="17"/>
        <v>Normal</v>
      </c>
    </row>
    <row r="325" spans="1:17" x14ac:dyDescent="0.3">
      <c r="A325" t="s">
        <v>457</v>
      </c>
      <c r="B325" s="5">
        <v>45306</v>
      </c>
      <c r="C325" t="s">
        <v>552</v>
      </c>
      <c r="D325" t="s">
        <v>44</v>
      </c>
      <c r="E325" t="s">
        <v>18</v>
      </c>
      <c r="F325" t="s">
        <v>552</v>
      </c>
      <c r="G325" t="s">
        <v>552</v>
      </c>
      <c r="H325">
        <v>2</v>
      </c>
      <c r="I325">
        <v>7830.7177904328155</v>
      </c>
      <c r="J325">
        <v>5</v>
      </c>
      <c r="K325" s="3">
        <v>499.99</v>
      </c>
      <c r="L325" t="s">
        <v>49</v>
      </c>
      <c r="M325" t="s">
        <v>552</v>
      </c>
      <c r="N325">
        <v>13312.220243735786</v>
      </c>
      <c r="O325">
        <f t="shared" si="15"/>
        <v>15661.435580865631</v>
      </c>
      <c r="P325" t="str">
        <f t="shared" si="16"/>
        <v>01-2024</v>
      </c>
      <c r="Q325" t="str">
        <f t="shared" si="17"/>
        <v>High</v>
      </c>
    </row>
    <row r="326" spans="1:17" x14ac:dyDescent="0.3">
      <c r="A326" t="s">
        <v>461</v>
      </c>
      <c r="B326" s="5">
        <v>45306</v>
      </c>
      <c r="C326" t="s">
        <v>12</v>
      </c>
      <c r="D326" t="s">
        <v>552</v>
      </c>
      <c r="E326" t="s">
        <v>552</v>
      </c>
      <c r="F326" t="s">
        <v>25</v>
      </c>
      <c r="G326" t="s">
        <v>60</v>
      </c>
      <c r="H326">
        <v>3</v>
      </c>
      <c r="I326">
        <v>25999</v>
      </c>
      <c r="J326">
        <v>0</v>
      </c>
      <c r="K326" s="3">
        <v>30000</v>
      </c>
      <c r="L326" t="s">
        <v>39</v>
      </c>
      <c r="M326" t="s">
        <v>552</v>
      </c>
      <c r="N326">
        <v>13312.220243735786</v>
      </c>
      <c r="O326">
        <f t="shared" si="15"/>
        <v>77997</v>
      </c>
      <c r="P326" t="str">
        <f t="shared" si="16"/>
        <v>01-2024</v>
      </c>
      <c r="Q326" t="str">
        <f t="shared" si="17"/>
        <v>High</v>
      </c>
    </row>
    <row r="327" spans="1:17" x14ac:dyDescent="0.3">
      <c r="A327" t="s">
        <v>362</v>
      </c>
      <c r="C327" t="s">
        <v>32</v>
      </c>
      <c r="D327" t="s">
        <v>44</v>
      </c>
      <c r="E327" t="s">
        <v>552</v>
      </c>
      <c r="F327" t="s">
        <v>19</v>
      </c>
      <c r="G327" t="s">
        <v>28</v>
      </c>
      <c r="H327">
        <v>1</v>
      </c>
      <c r="I327">
        <v>7830.7177904328155</v>
      </c>
      <c r="J327">
        <v>15</v>
      </c>
      <c r="K327" s="3">
        <v>15000</v>
      </c>
      <c r="L327" t="s">
        <v>53</v>
      </c>
      <c r="M327" t="s">
        <v>33</v>
      </c>
      <c r="N327">
        <v>6656.1101218678932</v>
      </c>
      <c r="O327">
        <f t="shared" si="15"/>
        <v>7830.7177904328155</v>
      </c>
      <c r="P327" t="str">
        <f t="shared" si="16"/>
        <v>01-1900</v>
      </c>
      <c r="Q327" t="str">
        <f t="shared" si="17"/>
        <v>Normal</v>
      </c>
    </row>
    <row r="328" spans="1:17" x14ac:dyDescent="0.3">
      <c r="A328" t="s">
        <v>363</v>
      </c>
      <c r="C328" t="s">
        <v>12</v>
      </c>
      <c r="D328" t="s">
        <v>44</v>
      </c>
      <c r="E328" t="s">
        <v>18</v>
      </c>
      <c r="F328" t="s">
        <v>19</v>
      </c>
      <c r="G328" t="s">
        <v>552</v>
      </c>
      <c r="H328">
        <v>1</v>
      </c>
      <c r="I328">
        <v>7830.7177904328155</v>
      </c>
      <c r="J328">
        <v>0</v>
      </c>
      <c r="K328" s="3">
        <v>30000</v>
      </c>
      <c r="L328" t="s">
        <v>53</v>
      </c>
      <c r="M328" t="s">
        <v>552</v>
      </c>
      <c r="N328">
        <v>7830.7177904328155</v>
      </c>
      <c r="O328">
        <f t="shared" si="15"/>
        <v>7830.7177904328155</v>
      </c>
      <c r="P328" t="str">
        <f t="shared" si="16"/>
        <v>01-1900</v>
      </c>
      <c r="Q328" t="str">
        <f t="shared" si="17"/>
        <v>Normal</v>
      </c>
    </row>
    <row r="329" spans="1:17" x14ac:dyDescent="0.3">
      <c r="A329" t="s">
        <v>479</v>
      </c>
      <c r="B329" s="5">
        <v>45306</v>
      </c>
      <c r="C329" t="s">
        <v>552</v>
      </c>
      <c r="D329" t="s">
        <v>44</v>
      </c>
      <c r="E329" t="s">
        <v>552</v>
      </c>
      <c r="F329" t="s">
        <v>19</v>
      </c>
      <c r="G329" t="s">
        <v>47</v>
      </c>
      <c r="H329">
        <v>4</v>
      </c>
      <c r="I329">
        <v>7830.7177904328155</v>
      </c>
      <c r="J329">
        <v>15</v>
      </c>
      <c r="K329" s="3">
        <v>499.99</v>
      </c>
      <c r="L329" t="s">
        <v>39</v>
      </c>
      <c r="M329" t="s">
        <v>30</v>
      </c>
      <c r="N329">
        <v>12999.5</v>
      </c>
      <c r="O329">
        <f t="shared" si="15"/>
        <v>31322.871161731262</v>
      </c>
      <c r="P329" t="str">
        <f t="shared" si="16"/>
        <v>01-2024</v>
      </c>
      <c r="Q329" t="str">
        <f t="shared" si="17"/>
        <v>High</v>
      </c>
    </row>
    <row r="330" spans="1:17" x14ac:dyDescent="0.3">
      <c r="A330" t="s">
        <v>489</v>
      </c>
      <c r="B330" s="5">
        <v>45306</v>
      </c>
      <c r="C330" t="s">
        <v>32</v>
      </c>
      <c r="D330" t="s">
        <v>52</v>
      </c>
      <c r="E330" t="s">
        <v>24</v>
      </c>
      <c r="F330" t="s">
        <v>19</v>
      </c>
      <c r="G330" t="s">
        <v>60</v>
      </c>
      <c r="H330">
        <v>1</v>
      </c>
      <c r="I330">
        <v>25999</v>
      </c>
      <c r="J330">
        <v>0</v>
      </c>
      <c r="K330" s="3">
        <v>0</v>
      </c>
      <c r="L330" t="s">
        <v>39</v>
      </c>
      <c r="M330" t="s">
        <v>30</v>
      </c>
      <c r="N330">
        <v>12999</v>
      </c>
      <c r="O330">
        <f t="shared" si="15"/>
        <v>25999</v>
      </c>
      <c r="P330" t="str">
        <f t="shared" si="16"/>
        <v>01-2024</v>
      </c>
      <c r="Q330" t="str">
        <f t="shared" si="17"/>
        <v>High</v>
      </c>
    </row>
    <row r="331" spans="1:17" x14ac:dyDescent="0.3">
      <c r="A331" t="s">
        <v>366</v>
      </c>
      <c r="B331" s="5">
        <v>45306</v>
      </c>
      <c r="C331" t="s">
        <v>32</v>
      </c>
      <c r="D331" t="s">
        <v>44</v>
      </c>
      <c r="E331" t="s">
        <v>552</v>
      </c>
      <c r="F331" t="s">
        <v>19</v>
      </c>
      <c r="G331" t="s">
        <v>552</v>
      </c>
      <c r="H331">
        <v>1</v>
      </c>
      <c r="I331">
        <v>7830.7177904328155</v>
      </c>
      <c r="J331">
        <v>10</v>
      </c>
      <c r="K331" s="3">
        <v>0</v>
      </c>
      <c r="L331" t="s">
        <v>552</v>
      </c>
      <c r="M331" t="s">
        <v>37</v>
      </c>
      <c r="N331">
        <v>7047.6460113895337</v>
      </c>
      <c r="O331">
        <f t="shared" si="15"/>
        <v>7830.7177904328155</v>
      </c>
      <c r="P331" t="str">
        <f t="shared" si="16"/>
        <v>01-2024</v>
      </c>
      <c r="Q331" t="str">
        <f t="shared" si="17"/>
        <v>Normal</v>
      </c>
    </row>
    <row r="332" spans="1:17" x14ac:dyDescent="0.3">
      <c r="A332" t="s">
        <v>367</v>
      </c>
      <c r="C332" t="s">
        <v>552</v>
      </c>
      <c r="D332" t="s">
        <v>23</v>
      </c>
      <c r="E332" t="s">
        <v>24</v>
      </c>
      <c r="F332" t="s">
        <v>19</v>
      </c>
      <c r="G332" t="s">
        <v>15</v>
      </c>
      <c r="H332">
        <v>1</v>
      </c>
      <c r="I332">
        <v>799.5</v>
      </c>
      <c r="J332">
        <v>15</v>
      </c>
      <c r="K332" s="3">
        <v>-500</v>
      </c>
      <c r="L332" t="s">
        <v>29</v>
      </c>
      <c r="M332" t="s">
        <v>37</v>
      </c>
      <c r="N332">
        <v>679.57499999999993</v>
      </c>
      <c r="O332">
        <f t="shared" si="15"/>
        <v>799.5</v>
      </c>
      <c r="P332" t="str">
        <f t="shared" si="16"/>
        <v>01-1900</v>
      </c>
      <c r="Q332" t="str">
        <f t="shared" si="17"/>
        <v>Normal</v>
      </c>
    </row>
    <row r="333" spans="1:17" x14ac:dyDescent="0.3">
      <c r="A333" t="s">
        <v>490</v>
      </c>
      <c r="B333" s="5">
        <v>45306</v>
      </c>
      <c r="C333" t="s">
        <v>12</v>
      </c>
      <c r="D333" t="s">
        <v>552</v>
      </c>
      <c r="E333" t="s">
        <v>552</v>
      </c>
      <c r="F333" t="s">
        <v>14</v>
      </c>
      <c r="G333" t="s">
        <v>28</v>
      </c>
      <c r="H333">
        <v>1</v>
      </c>
      <c r="I333">
        <v>25999</v>
      </c>
      <c r="J333">
        <v>5</v>
      </c>
      <c r="K333" s="3">
        <v>0</v>
      </c>
      <c r="L333" t="s">
        <v>29</v>
      </c>
      <c r="M333" t="s">
        <v>33</v>
      </c>
      <c r="N333">
        <v>12999</v>
      </c>
      <c r="O333">
        <f t="shared" si="15"/>
        <v>25999</v>
      </c>
      <c r="P333" t="str">
        <f t="shared" si="16"/>
        <v>01-2024</v>
      </c>
      <c r="Q333" t="str">
        <f t="shared" si="17"/>
        <v>High</v>
      </c>
    </row>
    <row r="334" spans="1:17" x14ac:dyDescent="0.3">
      <c r="A334" t="s">
        <v>369</v>
      </c>
      <c r="B334" s="5">
        <v>45376</v>
      </c>
      <c r="C334" t="s">
        <v>12</v>
      </c>
      <c r="D334" t="s">
        <v>52</v>
      </c>
      <c r="E334" t="s">
        <v>552</v>
      </c>
      <c r="F334" t="s">
        <v>19</v>
      </c>
      <c r="G334" t="s">
        <v>15</v>
      </c>
      <c r="H334">
        <v>3</v>
      </c>
      <c r="I334">
        <v>799.5</v>
      </c>
      <c r="J334">
        <v>0</v>
      </c>
      <c r="K334" s="3">
        <v>0</v>
      </c>
      <c r="L334" t="s">
        <v>552</v>
      </c>
      <c r="M334" t="s">
        <v>552</v>
      </c>
      <c r="N334">
        <v>2398.5</v>
      </c>
      <c r="O334">
        <f t="shared" si="15"/>
        <v>2398.5</v>
      </c>
      <c r="P334" t="str">
        <f t="shared" si="16"/>
        <v>03-2024</v>
      </c>
      <c r="Q334" t="str">
        <f t="shared" si="17"/>
        <v>Normal</v>
      </c>
    </row>
    <row r="335" spans="1:17" x14ac:dyDescent="0.3">
      <c r="A335" t="s">
        <v>370</v>
      </c>
      <c r="C335" t="s">
        <v>32</v>
      </c>
      <c r="D335" t="s">
        <v>552</v>
      </c>
      <c r="E335" t="s">
        <v>24</v>
      </c>
      <c r="F335" t="s">
        <v>19</v>
      </c>
      <c r="G335" t="s">
        <v>552</v>
      </c>
      <c r="H335">
        <v>1</v>
      </c>
      <c r="I335">
        <v>799.5</v>
      </c>
      <c r="J335">
        <v>0</v>
      </c>
      <c r="K335" s="3">
        <v>499.99</v>
      </c>
      <c r="L335" t="s">
        <v>552</v>
      </c>
      <c r="M335" t="s">
        <v>552</v>
      </c>
      <c r="N335">
        <v>799.5</v>
      </c>
      <c r="O335">
        <f t="shared" si="15"/>
        <v>799.5</v>
      </c>
      <c r="P335" t="str">
        <f t="shared" si="16"/>
        <v>01-1900</v>
      </c>
      <c r="Q335" t="str">
        <f t="shared" si="17"/>
        <v>Normal</v>
      </c>
    </row>
    <row r="336" spans="1:17" x14ac:dyDescent="0.3">
      <c r="A336" t="s">
        <v>371</v>
      </c>
      <c r="C336" t="s">
        <v>27</v>
      </c>
      <c r="D336" t="s">
        <v>552</v>
      </c>
      <c r="E336" t="s">
        <v>552</v>
      </c>
      <c r="F336" t="s">
        <v>14</v>
      </c>
      <c r="G336" t="s">
        <v>20</v>
      </c>
      <c r="H336">
        <v>1</v>
      </c>
      <c r="I336">
        <v>7830.7177904328155</v>
      </c>
      <c r="J336">
        <v>10</v>
      </c>
      <c r="K336" s="3">
        <v>15000</v>
      </c>
      <c r="L336" t="s">
        <v>552</v>
      </c>
      <c r="M336" t="s">
        <v>16</v>
      </c>
      <c r="N336">
        <v>7047.6460113895337</v>
      </c>
      <c r="O336">
        <f t="shared" si="15"/>
        <v>7830.7177904328155</v>
      </c>
      <c r="P336" t="str">
        <f t="shared" si="16"/>
        <v>01-1900</v>
      </c>
      <c r="Q336" t="str">
        <f t="shared" si="17"/>
        <v>Normal</v>
      </c>
    </row>
    <row r="337" spans="1:17" x14ac:dyDescent="0.3">
      <c r="A337" t="s">
        <v>372</v>
      </c>
      <c r="C337" t="s">
        <v>22</v>
      </c>
      <c r="D337" t="s">
        <v>23</v>
      </c>
      <c r="E337" t="s">
        <v>18</v>
      </c>
      <c r="F337" t="s">
        <v>25</v>
      </c>
      <c r="G337" t="s">
        <v>552</v>
      </c>
      <c r="H337">
        <v>1</v>
      </c>
      <c r="I337">
        <v>499.99</v>
      </c>
      <c r="J337">
        <v>0</v>
      </c>
      <c r="K337" s="3">
        <v>499.99</v>
      </c>
      <c r="L337" t="s">
        <v>53</v>
      </c>
      <c r="M337" t="s">
        <v>552</v>
      </c>
      <c r="N337">
        <v>499.99</v>
      </c>
      <c r="O337">
        <f t="shared" si="15"/>
        <v>499.99</v>
      </c>
      <c r="P337" t="str">
        <f t="shared" si="16"/>
        <v>01-1900</v>
      </c>
      <c r="Q337" t="str">
        <f t="shared" si="17"/>
        <v>Normal</v>
      </c>
    </row>
    <row r="338" spans="1:17" x14ac:dyDescent="0.3">
      <c r="A338" t="s">
        <v>373</v>
      </c>
      <c r="B338" s="5">
        <v>45337</v>
      </c>
      <c r="C338" t="s">
        <v>22</v>
      </c>
      <c r="D338" t="s">
        <v>552</v>
      </c>
      <c r="E338" t="s">
        <v>552</v>
      </c>
      <c r="F338" t="s">
        <v>25</v>
      </c>
      <c r="G338" t="s">
        <v>47</v>
      </c>
      <c r="H338">
        <v>2</v>
      </c>
      <c r="I338">
        <v>799.5</v>
      </c>
      <c r="J338">
        <v>0</v>
      </c>
      <c r="K338" s="3">
        <v>15000</v>
      </c>
      <c r="L338" t="s">
        <v>552</v>
      </c>
      <c r="M338" t="s">
        <v>552</v>
      </c>
      <c r="N338">
        <v>1599</v>
      </c>
      <c r="O338">
        <f t="shared" si="15"/>
        <v>1599</v>
      </c>
      <c r="P338" t="str">
        <f t="shared" si="16"/>
        <v>02-2024</v>
      </c>
      <c r="Q338" t="str">
        <f t="shared" si="17"/>
        <v>Normal</v>
      </c>
    </row>
    <row r="339" spans="1:17" x14ac:dyDescent="0.3">
      <c r="A339" t="s">
        <v>494</v>
      </c>
      <c r="B339" s="5">
        <v>45306</v>
      </c>
      <c r="C339" t="s">
        <v>27</v>
      </c>
      <c r="D339" t="s">
        <v>552</v>
      </c>
      <c r="E339" t="s">
        <v>552</v>
      </c>
      <c r="F339" t="s">
        <v>552</v>
      </c>
      <c r="G339" t="s">
        <v>28</v>
      </c>
      <c r="H339">
        <v>4</v>
      </c>
      <c r="I339">
        <v>7830.7177904328155</v>
      </c>
      <c r="J339">
        <v>15</v>
      </c>
      <c r="K339" s="3">
        <v>0</v>
      </c>
      <c r="L339" t="s">
        <v>49</v>
      </c>
      <c r="M339" t="s">
        <v>30</v>
      </c>
      <c r="N339">
        <v>12999</v>
      </c>
      <c r="O339">
        <f t="shared" si="15"/>
        <v>31322.871161731262</v>
      </c>
      <c r="P339" t="str">
        <f t="shared" si="16"/>
        <v>01-2024</v>
      </c>
      <c r="Q339" t="str">
        <f t="shared" si="17"/>
        <v>High</v>
      </c>
    </row>
    <row r="340" spans="1:17" x14ac:dyDescent="0.3">
      <c r="A340" t="s">
        <v>506</v>
      </c>
      <c r="B340" s="5">
        <v>45306</v>
      </c>
      <c r="C340" t="s">
        <v>32</v>
      </c>
      <c r="D340" t="s">
        <v>23</v>
      </c>
      <c r="E340" t="s">
        <v>24</v>
      </c>
      <c r="F340" t="s">
        <v>19</v>
      </c>
      <c r="G340" t="s">
        <v>28</v>
      </c>
      <c r="H340">
        <v>3</v>
      </c>
      <c r="I340">
        <v>7830.7177904328155</v>
      </c>
      <c r="J340">
        <v>50</v>
      </c>
      <c r="K340" s="3">
        <v>0</v>
      </c>
      <c r="L340" t="s">
        <v>29</v>
      </c>
      <c r="M340" t="s">
        <v>552</v>
      </c>
      <c r="N340">
        <v>12349.05</v>
      </c>
      <c r="O340">
        <f t="shared" si="15"/>
        <v>23492.153371298446</v>
      </c>
      <c r="P340" t="str">
        <f t="shared" si="16"/>
        <v>01-2024</v>
      </c>
      <c r="Q340" t="str">
        <f t="shared" si="17"/>
        <v>High</v>
      </c>
    </row>
    <row r="341" spans="1:17" x14ac:dyDescent="0.3">
      <c r="A341" t="s">
        <v>376</v>
      </c>
      <c r="C341" t="s">
        <v>27</v>
      </c>
      <c r="D341" t="s">
        <v>552</v>
      </c>
      <c r="E341" t="s">
        <v>552</v>
      </c>
      <c r="F341" t="s">
        <v>25</v>
      </c>
      <c r="G341" t="s">
        <v>20</v>
      </c>
      <c r="H341">
        <v>1</v>
      </c>
      <c r="I341">
        <v>499.99</v>
      </c>
      <c r="J341">
        <v>0</v>
      </c>
      <c r="K341" s="3">
        <v>30000</v>
      </c>
      <c r="L341" t="s">
        <v>53</v>
      </c>
      <c r="M341" t="s">
        <v>552</v>
      </c>
      <c r="N341">
        <v>499.99</v>
      </c>
      <c r="O341">
        <f t="shared" si="15"/>
        <v>499.99</v>
      </c>
      <c r="P341" t="str">
        <f t="shared" si="16"/>
        <v>01-1900</v>
      </c>
      <c r="Q341" t="str">
        <f t="shared" si="17"/>
        <v>Normal</v>
      </c>
    </row>
    <row r="342" spans="1:17" x14ac:dyDescent="0.3">
      <c r="A342" t="s">
        <v>510</v>
      </c>
      <c r="B342" s="5">
        <v>45306</v>
      </c>
      <c r="C342" t="s">
        <v>22</v>
      </c>
      <c r="D342" t="s">
        <v>23</v>
      </c>
      <c r="E342" t="s">
        <v>18</v>
      </c>
      <c r="F342" t="s">
        <v>19</v>
      </c>
      <c r="G342" t="s">
        <v>552</v>
      </c>
      <c r="H342">
        <v>2</v>
      </c>
      <c r="I342">
        <v>25999</v>
      </c>
      <c r="J342">
        <v>15</v>
      </c>
      <c r="K342" s="3">
        <v>15000</v>
      </c>
      <c r="L342" t="s">
        <v>53</v>
      </c>
      <c r="M342" t="s">
        <v>33</v>
      </c>
      <c r="N342">
        <v>12349.05</v>
      </c>
      <c r="O342">
        <f t="shared" si="15"/>
        <v>51998</v>
      </c>
      <c r="P342" t="str">
        <f t="shared" si="16"/>
        <v>01-2024</v>
      </c>
      <c r="Q342" t="str">
        <f t="shared" si="17"/>
        <v>High</v>
      </c>
    </row>
    <row r="343" spans="1:17" x14ac:dyDescent="0.3">
      <c r="A343" t="s">
        <v>378</v>
      </c>
      <c r="C343" t="s">
        <v>552</v>
      </c>
      <c r="D343" t="s">
        <v>552</v>
      </c>
      <c r="E343" t="s">
        <v>552</v>
      </c>
      <c r="F343" t="s">
        <v>25</v>
      </c>
      <c r="G343" t="s">
        <v>15</v>
      </c>
      <c r="H343">
        <v>2</v>
      </c>
      <c r="I343">
        <v>499.99</v>
      </c>
      <c r="J343">
        <v>10</v>
      </c>
      <c r="K343" s="3">
        <v>-500</v>
      </c>
      <c r="L343" t="s">
        <v>552</v>
      </c>
      <c r="M343" t="s">
        <v>552</v>
      </c>
      <c r="N343">
        <v>899.98200000000008</v>
      </c>
      <c r="O343">
        <f t="shared" si="15"/>
        <v>999.98</v>
      </c>
      <c r="P343" t="str">
        <f t="shared" si="16"/>
        <v>01-1900</v>
      </c>
      <c r="Q343" t="str">
        <f t="shared" si="17"/>
        <v>Normal</v>
      </c>
    </row>
    <row r="344" spans="1:17" x14ac:dyDescent="0.3">
      <c r="A344" t="s">
        <v>379</v>
      </c>
      <c r="B344" s="5">
        <v>45306</v>
      </c>
      <c r="C344" t="s">
        <v>22</v>
      </c>
      <c r="D344" t="s">
        <v>13</v>
      </c>
      <c r="E344" t="s">
        <v>552</v>
      </c>
      <c r="F344" t="s">
        <v>552</v>
      </c>
      <c r="G344" t="s">
        <v>60</v>
      </c>
      <c r="H344">
        <v>1</v>
      </c>
      <c r="I344">
        <v>7830.7177904328155</v>
      </c>
      <c r="J344">
        <v>50</v>
      </c>
      <c r="K344" s="3">
        <v>30000</v>
      </c>
      <c r="L344" t="s">
        <v>552</v>
      </c>
      <c r="M344" t="s">
        <v>552</v>
      </c>
      <c r="N344">
        <v>3915.3588952164077</v>
      </c>
      <c r="O344">
        <f t="shared" si="15"/>
        <v>7830.7177904328155</v>
      </c>
      <c r="P344" t="str">
        <f t="shared" si="16"/>
        <v>01-2024</v>
      </c>
      <c r="Q344" t="str">
        <f t="shared" si="17"/>
        <v>Normal</v>
      </c>
    </row>
    <row r="345" spans="1:17" x14ac:dyDescent="0.3">
      <c r="A345" t="s">
        <v>380</v>
      </c>
      <c r="B345" s="5">
        <v>45337</v>
      </c>
      <c r="C345" t="s">
        <v>552</v>
      </c>
      <c r="D345" t="s">
        <v>23</v>
      </c>
      <c r="E345" t="s">
        <v>18</v>
      </c>
      <c r="F345" t="s">
        <v>552</v>
      </c>
      <c r="G345" t="s">
        <v>552</v>
      </c>
      <c r="H345">
        <v>2</v>
      </c>
      <c r="I345">
        <v>499.99</v>
      </c>
      <c r="J345">
        <v>50</v>
      </c>
      <c r="K345" s="3">
        <v>499.99</v>
      </c>
      <c r="L345" t="s">
        <v>552</v>
      </c>
      <c r="M345" t="s">
        <v>37</v>
      </c>
      <c r="N345">
        <v>499.99</v>
      </c>
      <c r="O345">
        <f t="shared" si="15"/>
        <v>999.98</v>
      </c>
      <c r="P345" t="str">
        <f t="shared" si="16"/>
        <v>02-2024</v>
      </c>
      <c r="Q345" t="str">
        <f t="shared" si="17"/>
        <v>Normal</v>
      </c>
    </row>
    <row r="346" spans="1:17" x14ac:dyDescent="0.3">
      <c r="A346" t="s">
        <v>381</v>
      </c>
      <c r="B346" s="5">
        <v>45337</v>
      </c>
      <c r="C346" t="s">
        <v>552</v>
      </c>
      <c r="D346" t="s">
        <v>44</v>
      </c>
      <c r="E346" t="s">
        <v>18</v>
      </c>
      <c r="F346" t="s">
        <v>19</v>
      </c>
      <c r="G346" t="s">
        <v>15</v>
      </c>
      <c r="H346">
        <v>3</v>
      </c>
      <c r="I346">
        <v>499.99</v>
      </c>
      <c r="J346">
        <v>0</v>
      </c>
      <c r="K346" s="3">
        <v>0</v>
      </c>
      <c r="L346" t="s">
        <v>49</v>
      </c>
      <c r="M346" t="s">
        <v>37</v>
      </c>
      <c r="N346">
        <v>1499.97</v>
      </c>
      <c r="O346">
        <f t="shared" si="15"/>
        <v>1499.97</v>
      </c>
      <c r="P346" t="str">
        <f t="shared" si="16"/>
        <v>02-2024</v>
      </c>
      <c r="Q346" t="str">
        <f t="shared" si="17"/>
        <v>Normal</v>
      </c>
    </row>
    <row r="347" spans="1:17" x14ac:dyDescent="0.3">
      <c r="A347" t="s">
        <v>382</v>
      </c>
      <c r="C347" t="s">
        <v>12</v>
      </c>
      <c r="D347" t="s">
        <v>52</v>
      </c>
      <c r="E347" t="s">
        <v>36</v>
      </c>
      <c r="F347" t="s">
        <v>19</v>
      </c>
      <c r="G347" t="s">
        <v>28</v>
      </c>
      <c r="H347">
        <v>1</v>
      </c>
      <c r="I347">
        <v>7830.7177904328155</v>
      </c>
      <c r="J347">
        <v>10</v>
      </c>
      <c r="K347" s="3">
        <v>15000</v>
      </c>
      <c r="L347" t="s">
        <v>49</v>
      </c>
      <c r="M347" t="s">
        <v>30</v>
      </c>
      <c r="N347">
        <v>7047.6460113895337</v>
      </c>
      <c r="O347">
        <f t="shared" si="15"/>
        <v>7830.7177904328155</v>
      </c>
      <c r="P347" t="str">
        <f t="shared" si="16"/>
        <v>01-1900</v>
      </c>
      <c r="Q347" t="str">
        <f t="shared" si="17"/>
        <v>Normal</v>
      </c>
    </row>
    <row r="348" spans="1:17" x14ac:dyDescent="0.3">
      <c r="A348" t="s">
        <v>383</v>
      </c>
      <c r="C348" t="s">
        <v>552</v>
      </c>
      <c r="D348" t="s">
        <v>44</v>
      </c>
      <c r="E348" t="s">
        <v>552</v>
      </c>
      <c r="F348" t="s">
        <v>25</v>
      </c>
      <c r="G348" t="s">
        <v>15</v>
      </c>
      <c r="H348">
        <v>1</v>
      </c>
      <c r="I348">
        <v>7830.7177904328155</v>
      </c>
      <c r="J348">
        <v>5</v>
      </c>
      <c r="K348" s="3">
        <v>499.99</v>
      </c>
      <c r="L348" t="s">
        <v>39</v>
      </c>
      <c r="M348" t="s">
        <v>552</v>
      </c>
      <c r="N348">
        <v>7439.1819009111741</v>
      </c>
      <c r="O348">
        <f t="shared" si="15"/>
        <v>7830.7177904328155</v>
      </c>
      <c r="P348" t="str">
        <f t="shared" si="16"/>
        <v>01-1900</v>
      </c>
      <c r="Q348" t="str">
        <f t="shared" si="17"/>
        <v>Normal</v>
      </c>
    </row>
    <row r="349" spans="1:17" x14ac:dyDescent="0.3">
      <c r="A349" t="s">
        <v>384</v>
      </c>
      <c r="B349" s="5">
        <v>45337</v>
      </c>
      <c r="C349" t="s">
        <v>32</v>
      </c>
      <c r="D349" t="s">
        <v>44</v>
      </c>
      <c r="E349" t="s">
        <v>18</v>
      </c>
      <c r="F349" t="s">
        <v>25</v>
      </c>
      <c r="G349" t="s">
        <v>552</v>
      </c>
      <c r="H349">
        <v>2</v>
      </c>
      <c r="I349">
        <v>799.5</v>
      </c>
      <c r="J349">
        <v>50</v>
      </c>
      <c r="K349" s="3">
        <v>0</v>
      </c>
      <c r="L349" t="s">
        <v>39</v>
      </c>
      <c r="M349" t="s">
        <v>552</v>
      </c>
      <c r="N349">
        <v>799.5</v>
      </c>
      <c r="O349">
        <f t="shared" si="15"/>
        <v>1599</v>
      </c>
      <c r="P349" t="str">
        <f t="shared" si="16"/>
        <v>02-2024</v>
      </c>
      <c r="Q349" t="str">
        <f t="shared" si="17"/>
        <v>Normal</v>
      </c>
    </row>
    <row r="350" spans="1:17" x14ac:dyDescent="0.3">
      <c r="A350" t="s">
        <v>538</v>
      </c>
      <c r="B350" s="5">
        <v>45306</v>
      </c>
      <c r="C350" t="s">
        <v>27</v>
      </c>
      <c r="D350" t="s">
        <v>13</v>
      </c>
      <c r="E350" t="s">
        <v>36</v>
      </c>
      <c r="F350" t="s">
        <v>25</v>
      </c>
      <c r="G350" t="s">
        <v>15</v>
      </c>
      <c r="H350">
        <v>4</v>
      </c>
      <c r="I350">
        <v>7830.7177904328155</v>
      </c>
      <c r="J350">
        <v>10</v>
      </c>
      <c r="K350" s="3">
        <v>-500</v>
      </c>
      <c r="L350" t="s">
        <v>39</v>
      </c>
      <c r="M350" t="s">
        <v>552</v>
      </c>
      <c r="N350">
        <v>11049.15</v>
      </c>
      <c r="O350">
        <f t="shared" si="15"/>
        <v>31322.871161731262</v>
      </c>
      <c r="P350" t="str">
        <f t="shared" si="16"/>
        <v>01-2024</v>
      </c>
      <c r="Q350" t="str">
        <f t="shared" si="17"/>
        <v>High</v>
      </c>
    </row>
    <row r="351" spans="1:17" x14ac:dyDescent="0.3">
      <c r="A351" t="s">
        <v>386</v>
      </c>
      <c r="B351" s="5">
        <v>45376</v>
      </c>
      <c r="C351" t="s">
        <v>552</v>
      </c>
      <c r="D351" t="s">
        <v>52</v>
      </c>
      <c r="E351" t="s">
        <v>18</v>
      </c>
      <c r="F351" t="s">
        <v>552</v>
      </c>
      <c r="G351" t="s">
        <v>47</v>
      </c>
      <c r="H351">
        <v>1</v>
      </c>
      <c r="I351">
        <v>7830.7177904328155</v>
      </c>
      <c r="J351">
        <v>0</v>
      </c>
      <c r="K351" s="3">
        <v>15000</v>
      </c>
      <c r="L351" t="s">
        <v>552</v>
      </c>
      <c r="M351" t="s">
        <v>552</v>
      </c>
      <c r="N351">
        <v>7830.7177904328155</v>
      </c>
      <c r="O351">
        <f t="shared" si="15"/>
        <v>7830.7177904328155</v>
      </c>
      <c r="P351" t="str">
        <f t="shared" si="16"/>
        <v>03-2024</v>
      </c>
      <c r="Q351" t="str">
        <f t="shared" si="17"/>
        <v>Normal</v>
      </c>
    </row>
    <row r="352" spans="1:17" x14ac:dyDescent="0.3">
      <c r="A352" t="s">
        <v>387</v>
      </c>
      <c r="B352" s="5">
        <v>45376</v>
      </c>
      <c r="C352" t="s">
        <v>552</v>
      </c>
      <c r="D352" t="s">
        <v>552</v>
      </c>
      <c r="E352" t="s">
        <v>552</v>
      </c>
      <c r="F352" t="s">
        <v>552</v>
      </c>
      <c r="G352" t="s">
        <v>47</v>
      </c>
      <c r="H352">
        <v>4</v>
      </c>
      <c r="I352">
        <v>799.5</v>
      </c>
      <c r="J352">
        <v>10</v>
      </c>
      <c r="K352" s="3">
        <v>15000</v>
      </c>
      <c r="L352" t="s">
        <v>53</v>
      </c>
      <c r="M352" t="s">
        <v>33</v>
      </c>
      <c r="N352">
        <v>2878.2000000000003</v>
      </c>
      <c r="O352">
        <f t="shared" si="15"/>
        <v>3198</v>
      </c>
      <c r="P352" t="str">
        <f t="shared" si="16"/>
        <v>03-2024</v>
      </c>
      <c r="Q352" t="str">
        <f t="shared" si="17"/>
        <v>Normal</v>
      </c>
    </row>
    <row r="353" spans="1:17" x14ac:dyDescent="0.3">
      <c r="A353" t="s">
        <v>388</v>
      </c>
      <c r="B353" s="5">
        <v>45337</v>
      </c>
      <c r="C353" t="s">
        <v>32</v>
      </c>
      <c r="D353" t="s">
        <v>44</v>
      </c>
      <c r="E353" t="s">
        <v>36</v>
      </c>
      <c r="F353" t="s">
        <v>552</v>
      </c>
      <c r="G353" t="s">
        <v>20</v>
      </c>
      <c r="H353">
        <v>1</v>
      </c>
      <c r="I353">
        <v>7830.7177904328155</v>
      </c>
      <c r="J353">
        <v>15</v>
      </c>
      <c r="K353" s="3">
        <v>-500</v>
      </c>
      <c r="L353" t="s">
        <v>29</v>
      </c>
      <c r="M353" t="s">
        <v>552</v>
      </c>
      <c r="N353">
        <v>6656.1101218678932</v>
      </c>
      <c r="O353">
        <f t="shared" si="15"/>
        <v>7830.7177904328155</v>
      </c>
      <c r="P353" t="str">
        <f t="shared" si="16"/>
        <v>02-2024</v>
      </c>
      <c r="Q353" t="str">
        <f t="shared" si="17"/>
        <v>Normal</v>
      </c>
    </row>
    <row r="354" spans="1:17" x14ac:dyDescent="0.3">
      <c r="A354" t="s">
        <v>31</v>
      </c>
      <c r="C354" t="s">
        <v>32</v>
      </c>
      <c r="D354" t="s">
        <v>552</v>
      </c>
      <c r="E354" t="s">
        <v>18</v>
      </c>
      <c r="F354" t="s">
        <v>19</v>
      </c>
      <c r="G354" t="s">
        <v>28</v>
      </c>
      <c r="H354">
        <v>3</v>
      </c>
      <c r="I354">
        <v>7830.7177904328155</v>
      </c>
      <c r="J354">
        <v>15</v>
      </c>
      <c r="K354" s="3">
        <v>-500</v>
      </c>
      <c r="L354" t="s">
        <v>552</v>
      </c>
      <c r="M354" t="s">
        <v>33</v>
      </c>
      <c r="N354">
        <v>103996</v>
      </c>
      <c r="O354">
        <f t="shared" si="15"/>
        <v>23492.153371298446</v>
      </c>
      <c r="P354" t="str">
        <f t="shared" si="16"/>
        <v>01-1900</v>
      </c>
      <c r="Q354" t="str">
        <f t="shared" si="17"/>
        <v>High</v>
      </c>
    </row>
    <row r="355" spans="1:17" x14ac:dyDescent="0.3">
      <c r="A355" t="s">
        <v>390</v>
      </c>
      <c r="B355" s="5">
        <v>45376</v>
      </c>
      <c r="C355" t="s">
        <v>552</v>
      </c>
      <c r="D355" t="s">
        <v>552</v>
      </c>
      <c r="E355" t="s">
        <v>552</v>
      </c>
      <c r="F355" t="s">
        <v>19</v>
      </c>
      <c r="G355" t="s">
        <v>15</v>
      </c>
      <c r="H355">
        <v>3</v>
      </c>
      <c r="I355">
        <v>7830.7177904328155</v>
      </c>
      <c r="J355">
        <v>50</v>
      </c>
      <c r="K355" s="3">
        <v>0</v>
      </c>
      <c r="L355" t="s">
        <v>49</v>
      </c>
      <c r="M355" t="s">
        <v>37</v>
      </c>
      <c r="N355">
        <v>11746.076685649223</v>
      </c>
      <c r="O355">
        <f t="shared" si="15"/>
        <v>23492.153371298446</v>
      </c>
      <c r="P355" t="str">
        <f t="shared" si="16"/>
        <v>03-2024</v>
      </c>
      <c r="Q355" t="str">
        <f t="shared" si="17"/>
        <v>High</v>
      </c>
    </row>
    <row r="356" spans="1:17" x14ac:dyDescent="0.3">
      <c r="A356" t="s">
        <v>391</v>
      </c>
      <c r="B356" s="5">
        <v>45306</v>
      </c>
      <c r="C356" t="s">
        <v>12</v>
      </c>
      <c r="D356" t="s">
        <v>44</v>
      </c>
      <c r="E356" t="s">
        <v>552</v>
      </c>
      <c r="F356" t="s">
        <v>19</v>
      </c>
      <c r="G356" t="s">
        <v>28</v>
      </c>
      <c r="H356">
        <v>1</v>
      </c>
      <c r="I356">
        <v>7830.7177904328155</v>
      </c>
      <c r="J356">
        <v>50</v>
      </c>
      <c r="K356" s="3">
        <v>0</v>
      </c>
      <c r="L356" t="s">
        <v>49</v>
      </c>
      <c r="M356" t="s">
        <v>30</v>
      </c>
      <c r="N356">
        <v>3915.3588952164077</v>
      </c>
      <c r="O356">
        <f t="shared" si="15"/>
        <v>7830.7177904328155</v>
      </c>
      <c r="P356" t="str">
        <f t="shared" si="16"/>
        <v>01-2024</v>
      </c>
      <c r="Q356" t="str">
        <f t="shared" si="17"/>
        <v>Normal</v>
      </c>
    </row>
    <row r="357" spans="1:17" x14ac:dyDescent="0.3">
      <c r="A357" t="s">
        <v>392</v>
      </c>
      <c r="B357" s="5">
        <v>45337</v>
      </c>
      <c r="C357" t="s">
        <v>27</v>
      </c>
      <c r="D357" t="s">
        <v>23</v>
      </c>
      <c r="E357" t="s">
        <v>552</v>
      </c>
      <c r="F357" t="s">
        <v>552</v>
      </c>
      <c r="G357" t="s">
        <v>47</v>
      </c>
      <c r="H357">
        <v>1</v>
      </c>
      <c r="I357">
        <v>799.5</v>
      </c>
      <c r="J357">
        <v>5</v>
      </c>
      <c r="K357" s="3">
        <v>15000</v>
      </c>
      <c r="L357" t="s">
        <v>49</v>
      </c>
      <c r="M357" t="s">
        <v>552</v>
      </c>
      <c r="N357">
        <v>759.52499999999998</v>
      </c>
      <c r="O357">
        <f t="shared" si="15"/>
        <v>799.5</v>
      </c>
      <c r="P357" t="str">
        <f t="shared" si="16"/>
        <v>02-2024</v>
      </c>
      <c r="Q357" t="str">
        <f t="shared" si="17"/>
        <v>Normal</v>
      </c>
    </row>
    <row r="358" spans="1:17" x14ac:dyDescent="0.3">
      <c r="A358" t="s">
        <v>393</v>
      </c>
      <c r="B358" s="5">
        <v>45376</v>
      </c>
      <c r="C358" t="s">
        <v>552</v>
      </c>
      <c r="D358" t="s">
        <v>552</v>
      </c>
      <c r="E358" t="s">
        <v>18</v>
      </c>
      <c r="F358" t="s">
        <v>552</v>
      </c>
      <c r="G358" t="s">
        <v>15</v>
      </c>
      <c r="H358">
        <v>4</v>
      </c>
      <c r="I358">
        <v>7830.7177904328155</v>
      </c>
      <c r="J358">
        <v>15</v>
      </c>
      <c r="K358" s="3">
        <v>0</v>
      </c>
      <c r="L358" t="s">
        <v>53</v>
      </c>
      <c r="M358" t="s">
        <v>37</v>
      </c>
      <c r="N358">
        <v>26624.440487471573</v>
      </c>
      <c r="O358">
        <f t="shared" si="15"/>
        <v>31322.871161731262</v>
      </c>
      <c r="P358" t="str">
        <f t="shared" si="16"/>
        <v>03-2024</v>
      </c>
      <c r="Q358" t="str">
        <f t="shared" si="17"/>
        <v>High</v>
      </c>
    </row>
    <row r="359" spans="1:17" x14ac:dyDescent="0.3">
      <c r="A359" t="s">
        <v>34</v>
      </c>
      <c r="C359" t="s">
        <v>12</v>
      </c>
      <c r="D359" t="s">
        <v>552</v>
      </c>
      <c r="E359" t="s">
        <v>552</v>
      </c>
      <c r="F359" t="s">
        <v>552</v>
      </c>
      <c r="G359" t="s">
        <v>28</v>
      </c>
      <c r="H359">
        <v>4</v>
      </c>
      <c r="I359">
        <v>25999</v>
      </c>
      <c r="J359">
        <v>0</v>
      </c>
      <c r="K359" s="3">
        <v>499.99</v>
      </c>
      <c r="L359" t="s">
        <v>552</v>
      </c>
      <c r="M359" t="s">
        <v>552</v>
      </c>
      <c r="N359">
        <v>103996</v>
      </c>
      <c r="O359">
        <f t="shared" si="15"/>
        <v>103996</v>
      </c>
      <c r="P359" t="str">
        <f t="shared" si="16"/>
        <v>01-1900</v>
      </c>
      <c r="Q359" t="str">
        <f t="shared" si="17"/>
        <v>High</v>
      </c>
    </row>
    <row r="360" spans="1:17" x14ac:dyDescent="0.3">
      <c r="A360" t="s">
        <v>395</v>
      </c>
      <c r="B360" s="5">
        <v>45306</v>
      </c>
      <c r="C360" t="s">
        <v>552</v>
      </c>
      <c r="D360" t="s">
        <v>23</v>
      </c>
      <c r="E360" t="s">
        <v>36</v>
      </c>
      <c r="F360" t="s">
        <v>552</v>
      </c>
      <c r="G360" t="s">
        <v>47</v>
      </c>
      <c r="H360">
        <v>1</v>
      </c>
      <c r="I360">
        <v>799.5</v>
      </c>
      <c r="J360">
        <v>50</v>
      </c>
      <c r="K360" s="3">
        <v>30000</v>
      </c>
      <c r="L360" t="s">
        <v>39</v>
      </c>
      <c r="M360" t="s">
        <v>552</v>
      </c>
      <c r="N360">
        <v>399.75</v>
      </c>
      <c r="O360">
        <f t="shared" si="15"/>
        <v>799.5</v>
      </c>
      <c r="P360" t="str">
        <f t="shared" si="16"/>
        <v>01-2024</v>
      </c>
      <c r="Q360" t="str">
        <f t="shared" si="17"/>
        <v>Normal</v>
      </c>
    </row>
    <row r="361" spans="1:17" x14ac:dyDescent="0.3">
      <c r="A361" t="s">
        <v>43</v>
      </c>
      <c r="C361" t="s">
        <v>552</v>
      </c>
      <c r="D361" t="s">
        <v>44</v>
      </c>
      <c r="E361" t="s">
        <v>18</v>
      </c>
      <c r="F361" t="s">
        <v>552</v>
      </c>
      <c r="G361" t="s">
        <v>20</v>
      </c>
      <c r="H361">
        <v>4</v>
      </c>
      <c r="I361">
        <v>25999</v>
      </c>
      <c r="J361">
        <v>0</v>
      </c>
      <c r="K361" s="3">
        <v>0</v>
      </c>
      <c r="L361" t="s">
        <v>39</v>
      </c>
      <c r="M361" t="s">
        <v>33</v>
      </c>
      <c r="N361">
        <v>103996</v>
      </c>
      <c r="O361">
        <f t="shared" si="15"/>
        <v>103996</v>
      </c>
      <c r="P361" t="str">
        <f t="shared" si="16"/>
        <v>01-1900</v>
      </c>
      <c r="Q361" t="str">
        <f t="shared" si="17"/>
        <v>High</v>
      </c>
    </row>
    <row r="362" spans="1:17" x14ac:dyDescent="0.3">
      <c r="A362" t="s">
        <v>397</v>
      </c>
      <c r="C362" t="s">
        <v>32</v>
      </c>
      <c r="D362" t="s">
        <v>13</v>
      </c>
      <c r="E362" t="s">
        <v>18</v>
      </c>
      <c r="F362" t="s">
        <v>552</v>
      </c>
      <c r="G362" t="s">
        <v>20</v>
      </c>
      <c r="H362">
        <v>1</v>
      </c>
      <c r="I362">
        <v>25999</v>
      </c>
      <c r="J362">
        <v>0</v>
      </c>
      <c r="K362" s="3">
        <v>499.99</v>
      </c>
      <c r="L362" t="s">
        <v>552</v>
      </c>
      <c r="M362" t="s">
        <v>37</v>
      </c>
      <c r="N362">
        <v>25999</v>
      </c>
      <c r="O362">
        <f t="shared" si="15"/>
        <v>25999</v>
      </c>
      <c r="P362" t="str">
        <f t="shared" si="16"/>
        <v>01-1900</v>
      </c>
      <c r="Q362" t="str">
        <f t="shared" si="17"/>
        <v>High</v>
      </c>
    </row>
    <row r="363" spans="1:17" x14ac:dyDescent="0.3">
      <c r="A363" t="s">
        <v>398</v>
      </c>
      <c r="C363" t="s">
        <v>552</v>
      </c>
      <c r="D363" t="s">
        <v>13</v>
      </c>
      <c r="E363" t="s">
        <v>36</v>
      </c>
      <c r="F363" t="s">
        <v>552</v>
      </c>
      <c r="G363" t="s">
        <v>60</v>
      </c>
      <c r="H363">
        <v>2</v>
      </c>
      <c r="I363">
        <v>7830.7177904328155</v>
      </c>
      <c r="J363">
        <v>50</v>
      </c>
      <c r="K363" s="3">
        <v>-500</v>
      </c>
      <c r="L363" t="s">
        <v>39</v>
      </c>
      <c r="M363" t="s">
        <v>33</v>
      </c>
      <c r="N363">
        <v>7830.7177904328155</v>
      </c>
      <c r="O363">
        <f t="shared" si="15"/>
        <v>15661.435580865631</v>
      </c>
      <c r="P363" t="str">
        <f t="shared" si="16"/>
        <v>01-1900</v>
      </c>
      <c r="Q363" t="str">
        <f t="shared" si="17"/>
        <v>Normal</v>
      </c>
    </row>
    <row r="364" spans="1:17" x14ac:dyDescent="0.3">
      <c r="A364" t="s">
        <v>399</v>
      </c>
      <c r="B364" s="5">
        <v>45337</v>
      </c>
      <c r="C364" t="s">
        <v>552</v>
      </c>
      <c r="D364" t="s">
        <v>44</v>
      </c>
      <c r="E364" t="s">
        <v>36</v>
      </c>
      <c r="F364" t="s">
        <v>14</v>
      </c>
      <c r="G364" t="s">
        <v>60</v>
      </c>
      <c r="H364">
        <v>4</v>
      </c>
      <c r="I364">
        <v>799.5</v>
      </c>
      <c r="J364">
        <v>10</v>
      </c>
      <c r="K364" s="3">
        <v>0</v>
      </c>
      <c r="L364" t="s">
        <v>29</v>
      </c>
      <c r="M364" t="s">
        <v>552</v>
      </c>
      <c r="N364">
        <v>2878.2000000000003</v>
      </c>
      <c r="O364">
        <f t="shared" si="15"/>
        <v>3198</v>
      </c>
      <c r="P364" t="str">
        <f t="shared" si="16"/>
        <v>02-2024</v>
      </c>
      <c r="Q364" t="str">
        <f t="shared" si="17"/>
        <v>Normal</v>
      </c>
    </row>
    <row r="365" spans="1:17" x14ac:dyDescent="0.3">
      <c r="A365" t="s">
        <v>400</v>
      </c>
      <c r="C365" t="s">
        <v>32</v>
      </c>
      <c r="D365" t="s">
        <v>44</v>
      </c>
      <c r="E365" t="s">
        <v>24</v>
      </c>
      <c r="F365" t="s">
        <v>14</v>
      </c>
      <c r="G365" t="s">
        <v>28</v>
      </c>
      <c r="H365">
        <v>3</v>
      </c>
      <c r="I365">
        <v>799.5</v>
      </c>
      <c r="J365">
        <v>0</v>
      </c>
      <c r="K365" s="3">
        <v>499.99</v>
      </c>
      <c r="L365" t="s">
        <v>552</v>
      </c>
      <c r="M365" t="s">
        <v>552</v>
      </c>
      <c r="N365">
        <v>2398.5</v>
      </c>
      <c r="O365">
        <f t="shared" si="15"/>
        <v>2398.5</v>
      </c>
      <c r="P365" t="str">
        <f t="shared" si="16"/>
        <v>01-1900</v>
      </c>
      <c r="Q365" t="str">
        <f t="shared" si="17"/>
        <v>Normal</v>
      </c>
    </row>
    <row r="366" spans="1:17" x14ac:dyDescent="0.3">
      <c r="A366" t="s">
        <v>401</v>
      </c>
      <c r="B366" s="5">
        <v>45376</v>
      </c>
      <c r="C366" t="s">
        <v>552</v>
      </c>
      <c r="D366" t="s">
        <v>13</v>
      </c>
      <c r="E366" t="s">
        <v>36</v>
      </c>
      <c r="F366" t="s">
        <v>14</v>
      </c>
      <c r="G366" t="s">
        <v>15</v>
      </c>
      <c r="H366">
        <v>4</v>
      </c>
      <c r="I366">
        <v>499.99</v>
      </c>
      <c r="J366">
        <v>10</v>
      </c>
      <c r="K366" s="3">
        <v>0</v>
      </c>
      <c r="L366" t="s">
        <v>49</v>
      </c>
      <c r="M366" t="s">
        <v>30</v>
      </c>
      <c r="N366">
        <v>1799.9640000000002</v>
      </c>
      <c r="O366">
        <f t="shared" si="15"/>
        <v>1999.96</v>
      </c>
      <c r="P366" t="str">
        <f t="shared" si="16"/>
        <v>03-2024</v>
      </c>
      <c r="Q366" t="str">
        <f t="shared" si="17"/>
        <v>Normal</v>
      </c>
    </row>
    <row r="367" spans="1:17" x14ac:dyDescent="0.3">
      <c r="A367" t="s">
        <v>65</v>
      </c>
      <c r="C367" t="s">
        <v>552</v>
      </c>
      <c r="D367" t="s">
        <v>13</v>
      </c>
      <c r="E367" t="s">
        <v>552</v>
      </c>
      <c r="F367" t="s">
        <v>19</v>
      </c>
      <c r="G367" t="s">
        <v>47</v>
      </c>
      <c r="H367">
        <v>1</v>
      </c>
      <c r="I367">
        <v>12999</v>
      </c>
      <c r="J367">
        <v>10</v>
      </c>
      <c r="K367" s="3">
        <v>0</v>
      </c>
      <c r="L367" t="s">
        <v>552</v>
      </c>
      <c r="M367" t="s">
        <v>552</v>
      </c>
      <c r="N367">
        <v>88396.599999999991</v>
      </c>
      <c r="O367">
        <f t="shared" si="15"/>
        <v>12999</v>
      </c>
      <c r="P367" t="str">
        <f t="shared" si="16"/>
        <v>01-1900</v>
      </c>
      <c r="Q367" t="str">
        <f t="shared" si="17"/>
        <v>High</v>
      </c>
    </row>
    <row r="368" spans="1:17" x14ac:dyDescent="0.3">
      <c r="A368" t="s">
        <v>403</v>
      </c>
      <c r="C368" t="s">
        <v>552</v>
      </c>
      <c r="D368" t="s">
        <v>44</v>
      </c>
      <c r="E368" t="s">
        <v>552</v>
      </c>
      <c r="F368" t="s">
        <v>19</v>
      </c>
      <c r="G368" t="s">
        <v>60</v>
      </c>
      <c r="H368">
        <v>1</v>
      </c>
      <c r="I368">
        <v>799.5</v>
      </c>
      <c r="J368">
        <v>0</v>
      </c>
      <c r="K368" s="3">
        <v>0</v>
      </c>
      <c r="L368" t="s">
        <v>39</v>
      </c>
      <c r="M368" t="s">
        <v>30</v>
      </c>
      <c r="N368">
        <v>799.5</v>
      </c>
      <c r="O368">
        <f t="shared" si="15"/>
        <v>799.5</v>
      </c>
      <c r="P368" t="str">
        <f t="shared" si="16"/>
        <v>01-1900</v>
      </c>
      <c r="Q368" t="str">
        <f t="shared" si="17"/>
        <v>Normal</v>
      </c>
    </row>
    <row r="369" spans="1:17" x14ac:dyDescent="0.3">
      <c r="A369" t="s">
        <v>404</v>
      </c>
      <c r="B369" s="5">
        <v>45376</v>
      </c>
      <c r="C369" t="s">
        <v>27</v>
      </c>
      <c r="D369" t="s">
        <v>52</v>
      </c>
      <c r="E369" t="s">
        <v>18</v>
      </c>
      <c r="F369" t="s">
        <v>552</v>
      </c>
      <c r="G369" t="s">
        <v>552</v>
      </c>
      <c r="H369">
        <v>3</v>
      </c>
      <c r="I369">
        <v>499.99</v>
      </c>
      <c r="J369">
        <v>15</v>
      </c>
      <c r="K369" s="3">
        <v>-500</v>
      </c>
      <c r="L369" t="s">
        <v>552</v>
      </c>
      <c r="M369" t="s">
        <v>30</v>
      </c>
      <c r="N369">
        <v>1274.9745</v>
      </c>
      <c r="O369">
        <f t="shared" si="15"/>
        <v>1499.97</v>
      </c>
      <c r="P369" t="str">
        <f t="shared" si="16"/>
        <v>03-2024</v>
      </c>
      <c r="Q369" t="str">
        <f t="shared" si="17"/>
        <v>Normal</v>
      </c>
    </row>
    <row r="370" spans="1:17" x14ac:dyDescent="0.3">
      <c r="A370" t="s">
        <v>405</v>
      </c>
      <c r="B370" s="5">
        <v>45376</v>
      </c>
      <c r="C370" t="s">
        <v>552</v>
      </c>
      <c r="D370" t="s">
        <v>52</v>
      </c>
      <c r="E370" t="s">
        <v>36</v>
      </c>
      <c r="F370" t="s">
        <v>25</v>
      </c>
      <c r="G370" t="s">
        <v>552</v>
      </c>
      <c r="H370">
        <v>1</v>
      </c>
      <c r="I370">
        <v>799.5</v>
      </c>
      <c r="J370">
        <v>0</v>
      </c>
      <c r="K370" s="3">
        <v>499.99</v>
      </c>
      <c r="L370" t="s">
        <v>29</v>
      </c>
      <c r="M370" t="s">
        <v>33</v>
      </c>
      <c r="N370">
        <v>799.5</v>
      </c>
      <c r="O370">
        <f t="shared" si="15"/>
        <v>799.5</v>
      </c>
      <c r="P370" t="str">
        <f t="shared" si="16"/>
        <v>03-2024</v>
      </c>
      <c r="Q370" t="str">
        <f t="shared" si="17"/>
        <v>Normal</v>
      </c>
    </row>
    <row r="371" spans="1:17" x14ac:dyDescent="0.3">
      <c r="A371" t="s">
        <v>552</v>
      </c>
      <c r="C371" t="s">
        <v>552</v>
      </c>
      <c r="D371" t="s">
        <v>52</v>
      </c>
      <c r="E371" t="s">
        <v>18</v>
      </c>
      <c r="F371" t="s">
        <v>19</v>
      </c>
      <c r="G371" t="s">
        <v>47</v>
      </c>
      <c r="H371">
        <v>1</v>
      </c>
      <c r="I371">
        <v>25999</v>
      </c>
      <c r="J371">
        <v>15</v>
      </c>
      <c r="K371" s="3">
        <v>0</v>
      </c>
      <c r="L371" t="s">
        <v>49</v>
      </c>
      <c r="M371" t="s">
        <v>30</v>
      </c>
      <c r="N371">
        <v>77997</v>
      </c>
      <c r="O371">
        <f t="shared" si="15"/>
        <v>25999</v>
      </c>
      <c r="P371" t="str">
        <f t="shared" si="16"/>
        <v>01-1900</v>
      </c>
      <c r="Q371" t="str">
        <f t="shared" si="17"/>
        <v>High</v>
      </c>
    </row>
    <row r="372" spans="1:17" x14ac:dyDescent="0.3">
      <c r="A372" t="s">
        <v>92</v>
      </c>
      <c r="C372" t="s">
        <v>552</v>
      </c>
      <c r="D372" t="s">
        <v>23</v>
      </c>
      <c r="E372" t="s">
        <v>552</v>
      </c>
      <c r="F372" t="s">
        <v>552</v>
      </c>
      <c r="G372" t="s">
        <v>552</v>
      </c>
      <c r="H372">
        <v>4</v>
      </c>
      <c r="I372">
        <v>25999</v>
      </c>
      <c r="J372">
        <v>15</v>
      </c>
      <c r="K372" s="3">
        <v>-500</v>
      </c>
      <c r="L372" t="s">
        <v>552</v>
      </c>
      <c r="M372" t="s">
        <v>552</v>
      </c>
      <c r="N372">
        <v>66297.45</v>
      </c>
      <c r="O372">
        <f t="shared" si="15"/>
        <v>103996</v>
      </c>
      <c r="P372" t="str">
        <f t="shared" si="16"/>
        <v>01-1900</v>
      </c>
      <c r="Q372" t="str">
        <f t="shared" si="17"/>
        <v>High</v>
      </c>
    </row>
    <row r="373" spans="1:17" x14ac:dyDescent="0.3">
      <c r="A373" t="s">
        <v>408</v>
      </c>
      <c r="B373" s="5">
        <v>45306</v>
      </c>
      <c r="C373" t="s">
        <v>32</v>
      </c>
      <c r="D373" t="s">
        <v>44</v>
      </c>
      <c r="E373" t="s">
        <v>18</v>
      </c>
      <c r="F373" t="s">
        <v>25</v>
      </c>
      <c r="G373" t="s">
        <v>15</v>
      </c>
      <c r="H373">
        <v>1</v>
      </c>
      <c r="I373">
        <v>7830.7177904328155</v>
      </c>
      <c r="J373">
        <v>5</v>
      </c>
      <c r="K373" s="3">
        <v>0</v>
      </c>
      <c r="L373" t="s">
        <v>552</v>
      </c>
      <c r="M373" t="s">
        <v>37</v>
      </c>
      <c r="N373">
        <v>7439.1819009111741</v>
      </c>
      <c r="O373">
        <f t="shared" si="15"/>
        <v>7830.7177904328155</v>
      </c>
      <c r="P373" t="str">
        <f t="shared" si="16"/>
        <v>01-2024</v>
      </c>
      <c r="Q373" t="str">
        <f t="shared" si="17"/>
        <v>Normal</v>
      </c>
    </row>
    <row r="374" spans="1:17" x14ac:dyDescent="0.3">
      <c r="A374" t="s">
        <v>111</v>
      </c>
      <c r="C374" t="s">
        <v>27</v>
      </c>
      <c r="D374" t="s">
        <v>44</v>
      </c>
      <c r="E374" t="s">
        <v>552</v>
      </c>
      <c r="F374" t="s">
        <v>552</v>
      </c>
      <c r="G374" t="s">
        <v>47</v>
      </c>
      <c r="H374">
        <v>1</v>
      </c>
      <c r="I374">
        <v>12999</v>
      </c>
      <c r="J374">
        <v>10</v>
      </c>
      <c r="K374" s="3">
        <v>15000</v>
      </c>
      <c r="L374" t="s">
        <v>29</v>
      </c>
      <c r="M374" t="s">
        <v>16</v>
      </c>
      <c r="N374">
        <v>51996</v>
      </c>
      <c r="O374">
        <f t="shared" si="15"/>
        <v>12999</v>
      </c>
      <c r="P374" t="str">
        <f t="shared" si="16"/>
        <v>01-1900</v>
      </c>
      <c r="Q374" t="str">
        <f t="shared" si="17"/>
        <v>High</v>
      </c>
    </row>
    <row r="375" spans="1:17" x14ac:dyDescent="0.3">
      <c r="A375" t="s">
        <v>118</v>
      </c>
      <c r="C375" t="s">
        <v>552</v>
      </c>
      <c r="D375" t="s">
        <v>13</v>
      </c>
      <c r="E375" t="s">
        <v>18</v>
      </c>
      <c r="F375" t="s">
        <v>552</v>
      </c>
      <c r="G375" t="s">
        <v>20</v>
      </c>
      <c r="H375">
        <v>1</v>
      </c>
      <c r="I375">
        <v>12999</v>
      </c>
      <c r="J375">
        <v>0</v>
      </c>
      <c r="K375" s="3">
        <v>0</v>
      </c>
      <c r="L375" t="s">
        <v>49</v>
      </c>
      <c r="M375" t="s">
        <v>552</v>
      </c>
      <c r="N375">
        <v>51996</v>
      </c>
      <c r="O375">
        <f t="shared" si="15"/>
        <v>12999</v>
      </c>
      <c r="P375" t="str">
        <f t="shared" si="16"/>
        <v>01-1900</v>
      </c>
      <c r="Q375" t="str">
        <f t="shared" si="17"/>
        <v>High</v>
      </c>
    </row>
    <row r="376" spans="1:17" x14ac:dyDescent="0.3">
      <c r="A376" t="s">
        <v>120</v>
      </c>
      <c r="C376" t="s">
        <v>552</v>
      </c>
      <c r="D376" t="s">
        <v>552</v>
      </c>
      <c r="E376" t="s">
        <v>18</v>
      </c>
      <c r="F376" t="s">
        <v>19</v>
      </c>
      <c r="G376" t="s">
        <v>28</v>
      </c>
      <c r="H376">
        <v>2</v>
      </c>
      <c r="I376">
        <v>7830.7177904328155</v>
      </c>
      <c r="J376">
        <v>0</v>
      </c>
      <c r="K376" s="3">
        <v>0</v>
      </c>
      <c r="L376" t="s">
        <v>53</v>
      </c>
      <c r="M376" t="s">
        <v>552</v>
      </c>
      <c r="N376">
        <v>51996</v>
      </c>
      <c r="O376">
        <f t="shared" si="15"/>
        <v>15661.435580865631</v>
      </c>
      <c r="P376" t="str">
        <f t="shared" si="16"/>
        <v>01-1900</v>
      </c>
      <c r="Q376" t="str">
        <f t="shared" si="17"/>
        <v>High</v>
      </c>
    </row>
    <row r="377" spans="1:17" x14ac:dyDescent="0.3">
      <c r="A377" t="s">
        <v>412</v>
      </c>
      <c r="C377" t="s">
        <v>32</v>
      </c>
      <c r="D377" t="s">
        <v>44</v>
      </c>
      <c r="E377" t="s">
        <v>18</v>
      </c>
      <c r="F377" t="s">
        <v>19</v>
      </c>
      <c r="G377" t="s">
        <v>60</v>
      </c>
      <c r="H377">
        <v>1</v>
      </c>
      <c r="I377">
        <v>7830.7177904328155</v>
      </c>
      <c r="J377">
        <v>5</v>
      </c>
      <c r="K377" s="3">
        <v>499.99</v>
      </c>
      <c r="L377" t="s">
        <v>552</v>
      </c>
      <c r="M377" t="s">
        <v>33</v>
      </c>
      <c r="N377">
        <v>7439.1819009111741</v>
      </c>
      <c r="O377">
        <f t="shared" si="15"/>
        <v>7830.7177904328155</v>
      </c>
      <c r="P377" t="str">
        <f t="shared" si="16"/>
        <v>01-1900</v>
      </c>
      <c r="Q377" t="str">
        <f t="shared" si="17"/>
        <v>Normal</v>
      </c>
    </row>
    <row r="378" spans="1:17" x14ac:dyDescent="0.3">
      <c r="A378" t="s">
        <v>121</v>
      </c>
      <c r="C378" t="s">
        <v>552</v>
      </c>
      <c r="D378" t="s">
        <v>44</v>
      </c>
      <c r="E378" t="s">
        <v>18</v>
      </c>
      <c r="F378" t="s">
        <v>25</v>
      </c>
      <c r="G378" t="s">
        <v>28</v>
      </c>
      <c r="H378">
        <v>3</v>
      </c>
      <c r="I378">
        <v>7830.7177904328155</v>
      </c>
      <c r="J378">
        <v>0</v>
      </c>
      <c r="K378" s="3">
        <v>15000</v>
      </c>
      <c r="L378" t="s">
        <v>29</v>
      </c>
      <c r="M378" t="s">
        <v>33</v>
      </c>
      <c r="N378">
        <v>51996</v>
      </c>
      <c r="O378">
        <f t="shared" si="15"/>
        <v>23492.153371298446</v>
      </c>
      <c r="P378" t="str">
        <f t="shared" si="16"/>
        <v>01-1900</v>
      </c>
      <c r="Q378" t="str">
        <f t="shared" si="17"/>
        <v>High</v>
      </c>
    </row>
    <row r="379" spans="1:17" x14ac:dyDescent="0.3">
      <c r="A379" t="s">
        <v>414</v>
      </c>
      <c r="B379" s="5">
        <v>45306</v>
      </c>
      <c r="C379" t="s">
        <v>32</v>
      </c>
      <c r="D379" t="s">
        <v>552</v>
      </c>
      <c r="E379" t="s">
        <v>36</v>
      </c>
      <c r="F379" t="s">
        <v>552</v>
      </c>
      <c r="G379" t="s">
        <v>15</v>
      </c>
      <c r="H379">
        <v>2</v>
      </c>
      <c r="I379">
        <v>12999</v>
      </c>
      <c r="J379">
        <v>10</v>
      </c>
      <c r="K379" s="3">
        <v>30000</v>
      </c>
      <c r="L379" t="s">
        <v>552</v>
      </c>
      <c r="M379" t="s">
        <v>37</v>
      </c>
      <c r="N379">
        <v>23398.2</v>
      </c>
      <c r="O379">
        <f t="shared" si="15"/>
        <v>25998</v>
      </c>
      <c r="P379" t="str">
        <f t="shared" si="16"/>
        <v>01-2024</v>
      </c>
      <c r="Q379" t="str">
        <f t="shared" si="17"/>
        <v>High</v>
      </c>
    </row>
    <row r="380" spans="1:17" x14ac:dyDescent="0.3">
      <c r="A380" t="s">
        <v>415</v>
      </c>
      <c r="C380" t="s">
        <v>552</v>
      </c>
      <c r="D380" t="s">
        <v>13</v>
      </c>
      <c r="E380" t="s">
        <v>24</v>
      </c>
      <c r="F380" t="s">
        <v>19</v>
      </c>
      <c r="G380" t="s">
        <v>552</v>
      </c>
      <c r="H380">
        <v>3</v>
      </c>
      <c r="I380">
        <v>799.5</v>
      </c>
      <c r="J380">
        <v>50</v>
      </c>
      <c r="K380" s="3">
        <v>0</v>
      </c>
      <c r="L380" t="s">
        <v>39</v>
      </c>
      <c r="M380" t="s">
        <v>33</v>
      </c>
      <c r="N380">
        <v>1199.25</v>
      </c>
      <c r="O380">
        <f t="shared" si="15"/>
        <v>2398.5</v>
      </c>
      <c r="P380" t="str">
        <f t="shared" si="16"/>
        <v>01-1900</v>
      </c>
      <c r="Q380" t="str">
        <f t="shared" si="17"/>
        <v>Normal</v>
      </c>
    </row>
    <row r="381" spans="1:17" x14ac:dyDescent="0.3">
      <c r="A381" t="s">
        <v>416</v>
      </c>
      <c r="C381" t="s">
        <v>32</v>
      </c>
      <c r="D381" t="s">
        <v>23</v>
      </c>
      <c r="E381" t="s">
        <v>552</v>
      </c>
      <c r="F381" t="s">
        <v>552</v>
      </c>
      <c r="G381" t="s">
        <v>552</v>
      </c>
      <c r="H381">
        <v>2</v>
      </c>
      <c r="I381">
        <v>799.5</v>
      </c>
      <c r="J381">
        <v>0</v>
      </c>
      <c r="K381" s="3">
        <v>-500</v>
      </c>
      <c r="L381" t="s">
        <v>39</v>
      </c>
      <c r="M381" t="s">
        <v>33</v>
      </c>
      <c r="N381">
        <v>1599</v>
      </c>
      <c r="O381">
        <f t="shared" si="15"/>
        <v>1599</v>
      </c>
      <c r="P381" t="str">
        <f t="shared" si="16"/>
        <v>01-1900</v>
      </c>
      <c r="Q381" t="str">
        <f t="shared" si="17"/>
        <v>Normal</v>
      </c>
    </row>
    <row r="382" spans="1:17" x14ac:dyDescent="0.3">
      <c r="A382" t="s">
        <v>417</v>
      </c>
      <c r="C382" t="s">
        <v>27</v>
      </c>
      <c r="D382" t="s">
        <v>44</v>
      </c>
      <c r="E382" t="s">
        <v>552</v>
      </c>
      <c r="F382" t="s">
        <v>19</v>
      </c>
      <c r="G382" t="s">
        <v>15</v>
      </c>
      <c r="H382">
        <v>1</v>
      </c>
      <c r="I382">
        <v>799.5</v>
      </c>
      <c r="J382">
        <v>0</v>
      </c>
      <c r="K382" s="3">
        <v>15000</v>
      </c>
      <c r="L382" t="s">
        <v>39</v>
      </c>
      <c r="M382" t="s">
        <v>30</v>
      </c>
      <c r="N382">
        <v>799.5</v>
      </c>
      <c r="O382">
        <f t="shared" si="15"/>
        <v>799.5</v>
      </c>
      <c r="P382" t="str">
        <f t="shared" si="16"/>
        <v>01-1900</v>
      </c>
      <c r="Q382" t="str">
        <f t="shared" si="17"/>
        <v>Normal</v>
      </c>
    </row>
    <row r="383" spans="1:17" x14ac:dyDescent="0.3">
      <c r="A383" t="s">
        <v>418</v>
      </c>
      <c r="B383" s="5">
        <v>45376</v>
      </c>
      <c r="C383" t="s">
        <v>552</v>
      </c>
      <c r="D383" t="s">
        <v>44</v>
      </c>
      <c r="E383" t="s">
        <v>24</v>
      </c>
      <c r="F383" t="s">
        <v>14</v>
      </c>
      <c r="G383" t="s">
        <v>552</v>
      </c>
      <c r="H383">
        <v>1</v>
      </c>
      <c r="I383">
        <v>499.99</v>
      </c>
      <c r="J383">
        <v>15</v>
      </c>
      <c r="K383" s="3">
        <v>499.99</v>
      </c>
      <c r="L383" t="s">
        <v>53</v>
      </c>
      <c r="M383" t="s">
        <v>30</v>
      </c>
      <c r="N383">
        <v>424.99149999999997</v>
      </c>
      <c r="O383">
        <f t="shared" si="15"/>
        <v>499.99</v>
      </c>
      <c r="P383" t="str">
        <f t="shared" si="16"/>
        <v>03-2024</v>
      </c>
      <c r="Q383" t="str">
        <f t="shared" si="17"/>
        <v>Normal</v>
      </c>
    </row>
    <row r="384" spans="1:17" x14ac:dyDescent="0.3">
      <c r="A384" t="s">
        <v>126</v>
      </c>
      <c r="C384" t="s">
        <v>552</v>
      </c>
      <c r="D384" t="s">
        <v>52</v>
      </c>
      <c r="E384" t="s">
        <v>552</v>
      </c>
      <c r="F384" t="s">
        <v>25</v>
      </c>
      <c r="G384" t="s">
        <v>15</v>
      </c>
      <c r="H384">
        <v>2</v>
      </c>
      <c r="I384">
        <v>12999</v>
      </c>
      <c r="J384">
        <v>5</v>
      </c>
      <c r="K384" s="3">
        <v>-500</v>
      </c>
      <c r="L384" t="s">
        <v>39</v>
      </c>
      <c r="M384" t="s">
        <v>30</v>
      </c>
      <c r="N384">
        <v>49398.1</v>
      </c>
      <c r="O384">
        <f t="shared" si="15"/>
        <v>25998</v>
      </c>
      <c r="P384" t="str">
        <f t="shared" si="16"/>
        <v>01-1900</v>
      </c>
      <c r="Q384" t="str">
        <f t="shared" si="17"/>
        <v>High</v>
      </c>
    </row>
    <row r="385" spans="1:17" x14ac:dyDescent="0.3">
      <c r="A385" t="s">
        <v>135</v>
      </c>
      <c r="C385" t="s">
        <v>27</v>
      </c>
      <c r="D385" t="s">
        <v>52</v>
      </c>
      <c r="E385" t="s">
        <v>24</v>
      </c>
      <c r="F385" t="s">
        <v>19</v>
      </c>
      <c r="G385" t="s">
        <v>28</v>
      </c>
      <c r="H385">
        <v>3</v>
      </c>
      <c r="I385">
        <v>12999</v>
      </c>
      <c r="J385">
        <v>10</v>
      </c>
      <c r="K385" s="3">
        <v>-500</v>
      </c>
      <c r="L385" t="s">
        <v>552</v>
      </c>
      <c r="M385" t="s">
        <v>552</v>
      </c>
      <c r="N385">
        <v>46796.4</v>
      </c>
      <c r="O385">
        <f t="shared" si="15"/>
        <v>38997</v>
      </c>
      <c r="P385" t="str">
        <f t="shared" si="16"/>
        <v>01-1900</v>
      </c>
      <c r="Q385" t="str">
        <f t="shared" si="17"/>
        <v>High</v>
      </c>
    </row>
    <row r="386" spans="1:17" x14ac:dyDescent="0.3">
      <c r="A386" t="s">
        <v>136</v>
      </c>
      <c r="C386" t="s">
        <v>552</v>
      </c>
      <c r="D386" t="s">
        <v>52</v>
      </c>
      <c r="E386" t="s">
        <v>552</v>
      </c>
      <c r="F386" t="s">
        <v>25</v>
      </c>
      <c r="G386" t="s">
        <v>47</v>
      </c>
      <c r="H386">
        <v>1</v>
      </c>
      <c r="I386">
        <v>25999</v>
      </c>
      <c r="J386">
        <v>0</v>
      </c>
      <c r="K386" s="3">
        <v>0</v>
      </c>
      <c r="L386" t="s">
        <v>39</v>
      </c>
      <c r="M386" t="s">
        <v>552</v>
      </c>
      <c r="N386">
        <v>44198.299999999996</v>
      </c>
      <c r="O386">
        <f t="shared" ref="O386:O449" si="18">H386*I386</f>
        <v>25999</v>
      </c>
      <c r="P386" t="str">
        <f t="shared" ref="P386:P449" si="19">TEXT(B386,"MM-YYYY")</f>
        <v>01-1900</v>
      </c>
      <c r="Q386" t="str">
        <f t="shared" ref="Q386:Q449" si="20">IF(N386&gt;10000,"High","Normal")</f>
        <v>High</v>
      </c>
    </row>
    <row r="387" spans="1:17" x14ac:dyDescent="0.3">
      <c r="A387" t="s">
        <v>139</v>
      </c>
      <c r="C387" t="s">
        <v>32</v>
      </c>
      <c r="D387" t="s">
        <v>552</v>
      </c>
      <c r="E387" t="s">
        <v>24</v>
      </c>
      <c r="F387" t="s">
        <v>552</v>
      </c>
      <c r="G387" t="s">
        <v>28</v>
      </c>
      <c r="H387">
        <v>4</v>
      </c>
      <c r="I387">
        <v>7830.7177904328155</v>
      </c>
      <c r="J387">
        <v>0</v>
      </c>
      <c r="K387" s="3">
        <v>499.99</v>
      </c>
      <c r="L387" t="s">
        <v>39</v>
      </c>
      <c r="M387" t="s">
        <v>33</v>
      </c>
      <c r="N387">
        <v>44198.299999999996</v>
      </c>
      <c r="O387">
        <f t="shared" si="18"/>
        <v>31322.871161731262</v>
      </c>
      <c r="P387" t="str">
        <f t="shared" si="19"/>
        <v>01-1900</v>
      </c>
      <c r="Q387" t="str">
        <f t="shared" si="20"/>
        <v>High</v>
      </c>
    </row>
    <row r="388" spans="1:17" x14ac:dyDescent="0.3">
      <c r="A388" t="s">
        <v>423</v>
      </c>
      <c r="B388" s="5">
        <v>45376</v>
      </c>
      <c r="C388" t="s">
        <v>32</v>
      </c>
      <c r="D388" t="s">
        <v>552</v>
      </c>
      <c r="E388" t="s">
        <v>18</v>
      </c>
      <c r="F388" t="s">
        <v>25</v>
      </c>
      <c r="G388" t="s">
        <v>47</v>
      </c>
      <c r="H388">
        <v>3</v>
      </c>
      <c r="I388">
        <v>499.99</v>
      </c>
      <c r="J388">
        <v>0</v>
      </c>
      <c r="K388" s="3">
        <v>499.99</v>
      </c>
      <c r="L388" t="s">
        <v>552</v>
      </c>
      <c r="M388" t="s">
        <v>16</v>
      </c>
      <c r="N388">
        <v>1499.97</v>
      </c>
      <c r="O388">
        <f t="shared" si="18"/>
        <v>1499.97</v>
      </c>
      <c r="P388" t="str">
        <f t="shared" si="19"/>
        <v>03-2024</v>
      </c>
      <c r="Q388" t="str">
        <f t="shared" si="20"/>
        <v>Normal</v>
      </c>
    </row>
    <row r="389" spans="1:17" x14ac:dyDescent="0.3">
      <c r="A389" t="s">
        <v>424</v>
      </c>
      <c r="B389" s="5">
        <v>45306</v>
      </c>
      <c r="C389" t="s">
        <v>552</v>
      </c>
      <c r="D389" t="s">
        <v>44</v>
      </c>
      <c r="E389" t="s">
        <v>552</v>
      </c>
      <c r="F389" t="s">
        <v>25</v>
      </c>
      <c r="G389" t="s">
        <v>28</v>
      </c>
      <c r="H389">
        <v>1</v>
      </c>
      <c r="I389">
        <v>7830.7177904328155</v>
      </c>
      <c r="J389">
        <v>50</v>
      </c>
      <c r="K389" s="3">
        <v>0</v>
      </c>
      <c r="L389" t="s">
        <v>552</v>
      </c>
      <c r="M389" t="s">
        <v>16</v>
      </c>
      <c r="N389">
        <v>3915.3588952164077</v>
      </c>
      <c r="O389">
        <f t="shared" si="18"/>
        <v>7830.7177904328155</v>
      </c>
      <c r="P389" t="str">
        <f t="shared" si="19"/>
        <v>01-2024</v>
      </c>
      <c r="Q389" t="str">
        <f t="shared" si="20"/>
        <v>Normal</v>
      </c>
    </row>
    <row r="390" spans="1:17" x14ac:dyDescent="0.3">
      <c r="A390" t="s">
        <v>159</v>
      </c>
      <c r="C390" t="s">
        <v>552</v>
      </c>
      <c r="D390" t="s">
        <v>552</v>
      </c>
      <c r="E390" t="s">
        <v>36</v>
      </c>
      <c r="F390" t="s">
        <v>19</v>
      </c>
      <c r="G390" t="s">
        <v>47</v>
      </c>
      <c r="H390">
        <v>4</v>
      </c>
      <c r="I390">
        <v>25999</v>
      </c>
      <c r="J390">
        <v>0</v>
      </c>
      <c r="K390" s="3">
        <v>30000</v>
      </c>
      <c r="L390" t="s">
        <v>39</v>
      </c>
      <c r="M390" t="s">
        <v>552</v>
      </c>
      <c r="N390">
        <v>38998.5</v>
      </c>
      <c r="O390">
        <f t="shared" si="18"/>
        <v>103996</v>
      </c>
      <c r="P390" t="str">
        <f t="shared" si="19"/>
        <v>01-1900</v>
      </c>
      <c r="Q390" t="str">
        <f t="shared" si="20"/>
        <v>High</v>
      </c>
    </row>
    <row r="391" spans="1:17" x14ac:dyDescent="0.3">
      <c r="A391" t="s">
        <v>426</v>
      </c>
      <c r="B391" s="5">
        <v>45306</v>
      </c>
      <c r="C391" t="s">
        <v>552</v>
      </c>
      <c r="D391" t="s">
        <v>552</v>
      </c>
      <c r="E391" t="s">
        <v>552</v>
      </c>
      <c r="F391" t="s">
        <v>19</v>
      </c>
      <c r="G391" t="s">
        <v>552</v>
      </c>
      <c r="H391">
        <v>1</v>
      </c>
      <c r="I391">
        <v>7830.7177904328155</v>
      </c>
      <c r="J391">
        <v>15</v>
      </c>
      <c r="K391" s="3">
        <v>499.99</v>
      </c>
      <c r="L391" t="s">
        <v>29</v>
      </c>
      <c r="M391" t="s">
        <v>552</v>
      </c>
      <c r="N391">
        <v>6656.1101218678932</v>
      </c>
      <c r="O391">
        <f t="shared" si="18"/>
        <v>7830.7177904328155</v>
      </c>
      <c r="P391" t="str">
        <f t="shared" si="19"/>
        <v>01-2024</v>
      </c>
      <c r="Q391" t="str">
        <f t="shared" si="20"/>
        <v>Normal</v>
      </c>
    </row>
    <row r="392" spans="1:17" x14ac:dyDescent="0.3">
      <c r="A392" t="s">
        <v>427</v>
      </c>
      <c r="C392" t="s">
        <v>12</v>
      </c>
      <c r="D392" t="s">
        <v>552</v>
      </c>
      <c r="E392" t="s">
        <v>552</v>
      </c>
      <c r="F392" t="s">
        <v>19</v>
      </c>
      <c r="G392" t="s">
        <v>28</v>
      </c>
      <c r="H392">
        <v>3</v>
      </c>
      <c r="I392">
        <v>799.5</v>
      </c>
      <c r="J392">
        <v>50</v>
      </c>
      <c r="K392" s="3">
        <v>30000</v>
      </c>
      <c r="L392" t="s">
        <v>552</v>
      </c>
      <c r="M392" t="s">
        <v>30</v>
      </c>
      <c r="N392">
        <v>1199.25</v>
      </c>
      <c r="O392">
        <f t="shared" si="18"/>
        <v>2398.5</v>
      </c>
      <c r="P392" t="str">
        <f t="shared" si="19"/>
        <v>01-1900</v>
      </c>
      <c r="Q392" t="str">
        <f t="shared" si="20"/>
        <v>Normal</v>
      </c>
    </row>
    <row r="393" spans="1:17" x14ac:dyDescent="0.3">
      <c r="A393" t="s">
        <v>428</v>
      </c>
      <c r="B393" s="5">
        <v>45337</v>
      </c>
      <c r="C393" t="s">
        <v>552</v>
      </c>
      <c r="D393" t="s">
        <v>552</v>
      </c>
      <c r="E393" t="s">
        <v>552</v>
      </c>
      <c r="F393" t="s">
        <v>25</v>
      </c>
      <c r="G393" t="s">
        <v>47</v>
      </c>
      <c r="H393">
        <v>4</v>
      </c>
      <c r="I393">
        <v>499.99</v>
      </c>
      <c r="J393">
        <v>15</v>
      </c>
      <c r="K393" s="3">
        <v>0</v>
      </c>
      <c r="L393" t="s">
        <v>53</v>
      </c>
      <c r="M393" t="s">
        <v>16</v>
      </c>
      <c r="N393">
        <v>1699.9659999999999</v>
      </c>
      <c r="O393">
        <f t="shared" si="18"/>
        <v>1999.96</v>
      </c>
      <c r="P393" t="str">
        <f t="shared" si="19"/>
        <v>02-2024</v>
      </c>
      <c r="Q393" t="str">
        <f t="shared" si="20"/>
        <v>Normal</v>
      </c>
    </row>
    <row r="394" spans="1:17" x14ac:dyDescent="0.3">
      <c r="A394" t="s">
        <v>162</v>
      </c>
      <c r="C394" t="s">
        <v>552</v>
      </c>
      <c r="D394" t="s">
        <v>44</v>
      </c>
      <c r="E394" t="s">
        <v>18</v>
      </c>
      <c r="F394" t="s">
        <v>14</v>
      </c>
      <c r="G394" t="s">
        <v>20</v>
      </c>
      <c r="H394">
        <v>1</v>
      </c>
      <c r="I394">
        <v>12999</v>
      </c>
      <c r="J394">
        <v>15</v>
      </c>
      <c r="K394" s="3">
        <v>-500</v>
      </c>
      <c r="L394" t="s">
        <v>39</v>
      </c>
      <c r="M394" t="s">
        <v>552</v>
      </c>
      <c r="N394">
        <v>38997</v>
      </c>
      <c r="O394">
        <f t="shared" si="18"/>
        <v>12999</v>
      </c>
      <c r="P394" t="str">
        <f t="shared" si="19"/>
        <v>01-1900</v>
      </c>
      <c r="Q394" t="str">
        <f t="shared" si="20"/>
        <v>High</v>
      </c>
    </row>
    <row r="395" spans="1:17" x14ac:dyDescent="0.3">
      <c r="A395" t="s">
        <v>168</v>
      </c>
      <c r="C395" t="s">
        <v>552</v>
      </c>
      <c r="D395" t="s">
        <v>552</v>
      </c>
      <c r="E395" t="s">
        <v>18</v>
      </c>
      <c r="F395" t="s">
        <v>552</v>
      </c>
      <c r="G395" t="s">
        <v>20</v>
      </c>
      <c r="H395">
        <v>4</v>
      </c>
      <c r="I395">
        <v>12999</v>
      </c>
      <c r="J395">
        <v>15</v>
      </c>
      <c r="K395" s="3">
        <v>-500</v>
      </c>
      <c r="L395" t="s">
        <v>53</v>
      </c>
      <c r="M395" t="s">
        <v>552</v>
      </c>
      <c r="N395">
        <v>38997</v>
      </c>
      <c r="O395">
        <f t="shared" si="18"/>
        <v>51996</v>
      </c>
      <c r="P395" t="str">
        <f t="shared" si="19"/>
        <v>01-1900</v>
      </c>
      <c r="Q395" t="str">
        <f t="shared" si="20"/>
        <v>High</v>
      </c>
    </row>
    <row r="396" spans="1:17" x14ac:dyDescent="0.3">
      <c r="A396" t="s">
        <v>431</v>
      </c>
      <c r="B396" s="5">
        <v>45306</v>
      </c>
      <c r="C396" t="s">
        <v>552</v>
      </c>
      <c r="D396" t="s">
        <v>23</v>
      </c>
      <c r="E396" t="s">
        <v>552</v>
      </c>
      <c r="F396" t="s">
        <v>14</v>
      </c>
      <c r="G396" t="s">
        <v>20</v>
      </c>
      <c r="H396">
        <v>1</v>
      </c>
      <c r="I396">
        <v>499.99</v>
      </c>
      <c r="J396">
        <v>0</v>
      </c>
      <c r="K396" s="3">
        <v>0</v>
      </c>
      <c r="L396" t="s">
        <v>39</v>
      </c>
      <c r="M396" t="s">
        <v>16</v>
      </c>
      <c r="N396">
        <v>499.99</v>
      </c>
      <c r="O396">
        <f t="shared" si="18"/>
        <v>499.99</v>
      </c>
      <c r="P396" t="str">
        <f t="shared" si="19"/>
        <v>01-2024</v>
      </c>
      <c r="Q396" t="str">
        <f t="shared" si="20"/>
        <v>Normal</v>
      </c>
    </row>
    <row r="397" spans="1:17" x14ac:dyDescent="0.3">
      <c r="A397" t="s">
        <v>432</v>
      </c>
      <c r="B397" s="5">
        <v>45376</v>
      </c>
      <c r="C397" t="s">
        <v>12</v>
      </c>
      <c r="D397" t="s">
        <v>552</v>
      </c>
      <c r="E397" t="s">
        <v>552</v>
      </c>
      <c r="F397" t="s">
        <v>19</v>
      </c>
      <c r="G397" t="s">
        <v>552</v>
      </c>
      <c r="H397">
        <v>1</v>
      </c>
      <c r="I397">
        <v>499.99</v>
      </c>
      <c r="J397">
        <v>50</v>
      </c>
      <c r="K397" s="3">
        <v>499.99</v>
      </c>
      <c r="L397" t="s">
        <v>552</v>
      </c>
      <c r="M397" t="s">
        <v>37</v>
      </c>
      <c r="N397">
        <v>249.995</v>
      </c>
      <c r="O397">
        <f t="shared" si="18"/>
        <v>499.99</v>
      </c>
      <c r="P397" t="str">
        <f t="shared" si="19"/>
        <v>03-2024</v>
      </c>
      <c r="Q397" t="str">
        <f t="shared" si="20"/>
        <v>Normal</v>
      </c>
    </row>
    <row r="398" spans="1:17" x14ac:dyDescent="0.3">
      <c r="A398" t="s">
        <v>172</v>
      </c>
      <c r="C398" t="s">
        <v>552</v>
      </c>
      <c r="D398" t="s">
        <v>13</v>
      </c>
      <c r="E398" t="s">
        <v>552</v>
      </c>
      <c r="F398" t="s">
        <v>25</v>
      </c>
      <c r="G398" t="s">
        <v>20</v>
      </c>
      <c r="H398">
        <v>1</v>
      </c>
      <c r="I398">
        <v>25999</v>
      </c>
      <c r="J398">
        <v>50</v>
      </c>
      <c r="K398" s="3">
        <v>499.99</v>
      </c>
      <c r="L398" t="s">
        <v>29</v>
      </c>
      <c r="M398" t="s">
        <v>30</v>
      </c>
      <c r="N398">
        <v>35097.300000000003</v>
      </c>
      <c r="O398">
        <f t="shared" si="18"/>
        <v>25999</v>
      </c>
      <c r="P398" t="str">
        <f t="shared" si="19"/>
        <v>01-1900</v>
      </c>
      <c r="Q398" t="str">
        <f t="shared" si="20"/>
        <v>High</v>
      </c>
    </row>
    <row r="399" spans="1:17" x14ac:dyDescent="0.3">
      <c r="A399" t="s">
        <v>434</v>
      </c>
      <c r="C399" t="s">
        <v>12</v>
      </c>
      <c r="D399" t="s">
        <v>23</v>
      </c>
      <c r="E399" t="s">
        <v>18</v>
      </c>
      <c r="F399" t="s">
        <v>19</v>
      </c>
      <c r="G399" t="s">
        <v>47</v>
      </c>
      <c r="H399">
        <v>4</v>
      </c>
      <c r="I399">
        <v>25999</v>
      </c>
      <c r="J399">
        <v>5</v>
      </c>
      <c r="K399" s="3">
        <v>0</v>
      </c>
      <c r="L399" t="s">
        <v>552</v>
      </c>
      <c r="M399" t="s">
        <v>37</v>
      </c>
      <c r="N399">
        <v>98796.2</v>
      </c>
      <c r="O399">
        <f t="shared" si="18"/>
        <v>103996</v>
      </c>
      <c r="P399" t="str">
        <f t="shared" si="19"/>
        <v>01-1900</v>
      </c>
      <c r="Q399" t="str">
        <f t="shared" si="20"/>
        <v>High</v>
      </c>
    </row>
    <row r="400" spans="1:17" x14ac:dyDescent="0.3">
      <c r="A400" t="s">
        <v>435</v>
      </c>
      <c r="C400" t="s">
        <v>552</v>
      </c>
      <c r="D400" t="s">
        <v>552</v>
      </c>
      <c r="E400" t="s">
        <v>36</v>
      </c>
      <c r="F400" t="s">
        <v>14</v>
      </c>
      <c r="G400" t="s">
        <v>47</v>
      </c>
      <c r="H400">
        <v>1</v>
      </c>
      <c r="I400">
        <v>799.5</v>
      </c>
      <c r="J400">
        <v>0</v>
      </c>
      <c r="K400" s="3">
        <v>0</v>
      </c>
      <c r="L400" t="s">
        <v>29</v>
      </c>
      <c r="M400" t="s">
        <v>33</v>
      </c>
      <c r="N400">
        <v>799.5</v>
      </c>
      <c r="O400">
        <f t="shared" si="18"/>
        <v>799.5</v>
      </c>
      <c r="P400" t="str">
        <f t="shared" si="19"/>
        <v>01-1900</v>
      </c>
      <c r="Q400" t="str">
        <f t="shared" si="20"/>
        <v>Normal</v>
      </c>
    </row>
    <row r="401" spans="1:17" x14ac:dyDescent="0.3">
      <c r="A401" t="s">
        <v>190</v>
      </c>
      <c r="C401" t="s">
        <v>552</v>
      </c>
      <c r="D401" t="s">
        <v>23</v>
      </c>
      <c r="E401" t="s">
        <v>36</v>
      </c>
      <c r="F401" t="s">
        <v>552</v>
      </c>
      <c r="G401" t="s">
        <v>552</v>
      </c>
      <c r="H401">
        <v>2</v>
      </c>
      <c r="I401">
        <v>7830.7177904328155</v>
      </c>
      <c r="J401">
        <v>15</v>
      </c>
      <c r="K401" s="3">
        <v>499.99</v>
      </c>
      <c r="L401" t="s">
        <v>39</v>
      </c>
      <c r="M401" t="s">
        <v>33</v>
      </c>
      <c r="N401">
        <v>31322.871161731262</v>
      </c>
      <c r="O401">
        <f t="shared" si="18"/>
        <v>15661.435580865631</v>
      </c>
      <c r="P401" t="str">
        <f t="shared" si="19"/>
        <v>01-1900</v>
      </c>
      <c r="Q401" t="str">
        <f t="shared" si="20"/>
        <v>High</v>
      </c>
    </row>
    <row r="402" spans="1:17" x14ac:dyDescent="0.3">
      <c r="A402" t="s">
        <v>203</v>
      </c>
      <c r="C402" t="s">
        <v>27</v>
      </c>
      <c r="D402" t="s">
        <v>552</v>
      </c>
      <c r="E402" t="s">
        <v>24</v>
      </c>
      <c r="F402" t="s">
        <v>14</v>
      </c>
      <c r="G402" t="s">
        <v>28</v>
      </c>
      <c r="H402">
        <v>3</v>
      </c>
      <c r="I402">
        <v>7830.7177904328155</v>
      </c>
      <c r="J402">
        <v>10</v>
      </c>
      <c r="K402" s="3">
        <v>499.99</v>
      </c>
      <c r="L402" t="s">
        <v>29</v>
      </c>
      <c r="M402" t="s">
        <v>30</v>
      </c>
      <c r="N402">
        <v>29756.727603644697</v>
      </c>
      <c r="O402">
        <f t="shared" si="18"/>
        <v>23492.153371298446</v>
      </c>
      <c r="P402" t="str">
        <f t="shared" si="19"/>
        <v>01-1900</v>
      </c>
      <c r="Q402" t="str">
        <f t="shared" si="20"/>
        <v>High</v>
      </c>
    </row>
    <row r="403" spans="1:17" x14ac:dyDescent="0.3">
      <c r="A403" t="s">
        <v>217</v>
      </c>
      <c r="C403" t="s">
        <v>32</v>
      </c>
      <c r="D403" t="s">
        <v>52</v>
      </c>
      <c r="E403" t="s">
        <v>552</v>
      </c>
      <c r="F403" t="s">
        <v>25</v>
      </c>
      <c r="G403" t="s">
        <v>28</v>
      </c>
      <c r="H403">
        <v>3</v>
      </c>
      <c r="I403">
        <v>7830.7177904328155</v>
      </c>
      <c r="J403">
        <v>0</v>
      </c>
      <c r="K403" s="3">
        <v>0</v>
      </c>
      <c r="L403" t="s">
        <v>39</v>
      </c>
      <c r="M403" t="s">
        <v>33</v>
      </c>
      <c r="N403">
        <v>26624.440487471573</v>
      </c>
      <c r="O403">
        <f t="shared" si="18"/>
        <v>23492.153371298446</v>
      </c>
      <c r="P403" t="str">
        <f t="shared" si="19"/>
        <v>01-1900</v>
      </c>
      <c r="Q403" t="str">
        <f t="shared" si="20"/>
        <v>High</v>
      </c>
    </row>
    <row r="404" spans="1:17" x14ac:dyDescent="0.3">
      <c r="A404" t="s">
        <v>439</v>
      </c>
      <c r="C404" t="s">
        <v>32</v>
      </c>
      <c r="D404" t="s">
        <v>23</v>
      </c>
      <c r="E404" t="s">
        <v>552</v>
      </c>
      <c r="F404" t="s">
        <v>14</v>
      </c>
      <c r="G404" t="s">
        <v>552</v>
      </c>
      <c r="H404">
        <v>3</v>
      </c>
      <c r="I404">
        <v>799.5</v>
      </c>
      <c r="J404">
        <v>0</v>
      </c>
      <c r="K404" s="3">
        <v>30000</v>
      </c>
      <c r="L404" t="s">
        <v>39</v>
      </c>
      <c r="M404" t="s">
        <v>16</v>
      </c>
      <c r="N404">
        <v>2398.5</v>
      </c>
      <c r="O404">
        <f t="shared" si="18"/>
        <v>2398.5</v>
      </c>
      <c r="P404" t="str">
        <f t="shared" si="19"/>
        <v>01-1900</v>
      </c>
      <c r="Q404" t="str">
        <f t="shared" si="20"/>
        <v>Normal</v>
      </c>
    </row>
    <row r="405" spans="1:17" x14ac:dyDescent="0.3">
      <c r="A405" t="s">
        <v>218</v>
      </c>
      <c r="C405" t="s">
        <v>12</v>
      </c>
      <c r="D405" t="s">
        <v>552</v>
      </c>
      <c r="E405" t="s">
        <v>18</v>
      </c>
      <c r="F405" t="s">
        <v>14</v>
      </c>
      <c r="G405" t="s">
        <v>20</v>
      </c>
      <c r="H405">
        <v>1</v>
      </c>
      <c r="I405">
        <v>25999</v>
      </c>
      <c r="J405">
        <v>0</v>
      </c>
      <c r="K405" s="3">
        <v>30000</v>
      </c>
      <c r="L405" t="s">
        <v>29</v>
      </c>
      <c r="M405" t="s">
        <v>552</v>
      </c>
      <c r="N405">
        <v>26624.440487471573</v>
      </c>
      <c r="O405">
        <f t="shared" si="18"/>
        <v>25999</v>
      </c>
      <c r="P405" t="str">
        <f t="shared" si="19"/>
        <v>01-1900</v>
      </c>
      <c r="Q405" t="str">
        <f t="shared" si="20"/>
        <v>High</v>
      </c>
    </row>
    <row r="406" spans="1:17" x14ac:dyDescent="0.3">
      <c r="A406" t="s">
        <v>221</v>
      </c>
      <c r="C406" t="s">
        <v>552</v>
      </c>
      <c r="D406" t="s">
        <v>52</v>
      </c>
      <c r="E406" t="s">
        <v>24</v>
      </c>
      <c r="F406" t="s">
        <v>552</v>
      </c>
      <c r="G406" t="s">
        <v>552</v>
      </c>
      <c r="H406">
        <v>1</v>
      </c>
      <c r="I406">
        <v>12999</v>
      </c>
      <c r="J406">
        <v>0</v>
      </c>
      <c r="K406" s="3">
        <v>499.99</v>
      </c>
      <c r="L406" t="s">
        <v>552</v>
      </c>
      <c r="M406" t="s">
        <v>552</v>
      </c>
      <c r="N406">
        <v>25999</v>
      </c>
      <c r="O406">
        <f t="shared" si="18"/>
        <v>12999</v>
      </c>
      <c r="P406" t="str">
        <f t="shared" si="19"/>
        <v>01-1900</v>
      </c>
      <c r="Q406" t="str">
        <f t="shared" si="20"/>
        <v>High</v>
      </c>
    </row>
    <row r="407" spans="1:17" x14ac:dyDescent="0.3">
      <c r="A407" t="s">
        <v>224</v>
      </c>
      <c r="C407" t="s">
        <v>32</v>
      </c>
      <c r="D407" t="s">
        <v>23</v>
      </c>
      <c r="E407" t="s">
        <v>18</v>
      </c>
      <c r="F407" t="s">
        <v>19</v>
      </c>
      <c r="G407" t="s">
        <v>552</v>
      </c>
      <c r="H407">
        <v>1</v>
      </c>
      <c r="I407">
        <v>25999</v>
      </c>
      <c r="J407">
        <v>15</v>
      </c>
      <c r="K407" s="3">
        <v>0</v>
      </c>
      <c r="L407" t="s">
        <v>39</v>
      </c>
      <c r="M407" t="s">
        <v>30</v>
      </c>
      <c r="N407">
        <v>25999</v>
      </c>
      <c r="O407">
        <f t="shared" si="18"/>
        <v>25999</v>
      </c>
      <c r="P407" t="str">
        <f t="shared" si="19"/>
        <v>01-1900</v>
      </c>
      <c r="Q407" t="str">
        <f t="shared" si="20"/>
        <v>High</v>
      </c>
    </row>
    <row r="408" spans="1:17" x14ac:dyDescent="0.3">
      <c r="A408" t="s">
        <v>226</v>
      </c>
      <c r="C408" t="s">
        <v>552</v>
      </c>
      <c r="D408" t="s">
        <v>552</v>
      </c>
      <c r="E408" t="s">
        <v>552</v>
      </c>
      <c r="F408" t="s">
        <v>25</v>
      </c>
      <c r="G408" t="s">
        <v>20</v>
      </c>
      <c r="H408">
        <v>4</v>
      </c>
      <c r="I408">
        <v>25999</v>
      </c>
      <c r="J408">
        <v>15</v>
      </c>
      <c r="K408" s="3">
        <v>-500</v>
      </c>
      <c r="L408" t="s">
        <v>49</v>
      </c>
      <c r="M408" t="s">
        <v>552</v>
      </c>
      <c r="N408">
        <v>25999</v>
      </c>
      <c r="O408">
        <f t="shared" si="18"/>
        <v>103996</v>
      </c>
      <c r="P408" t="str">
        <f t="shared" si="19"/>
        <v>01-1900</v>
      </c>
      <c r="Q408" t="str">
        <f t="shared" si="20"/>
        <v>High</v>
      </c>
    </row>
    <row r="409" spans="1:17" x14ac:dyDescent="0.3">
      <c r="A409" t="s">
        <v>444</v>
      </c>
      <c r="C409" t="s">
        <v>12</v>
      </c>
      <c r="D409" t="s">
        <v>44</v>
      </c>
      <c r="E409" t="s">
        <v>18</v>
      </c>
      <c r="F409" t="s">
        <v>19</v>
      </c>
      <c r="G409" t="s">
        <v>552</v>
      </c>
      <c r="H409">
        <v>2</v>
      </c>
      <c r="I409">
        <v>499.99</v>
      </c>
      <c r="J409">
        <v>0</v>
      </c>
      <c r="K409" s="3">
        <v>499.99</v>
      </c>
      <c r="L409" t="s">
        <v>39</v>
      </c>
      <c r="M409" t="s">
        <v>30</v>
      </c>
      <c r="N409">
        <v>999.98</v>
      </c>
      <c r="O409">
        <f t="shared" si="18"/>
        <v>999.98</v>
      </c>
      <c r="P409" t="str">
        <f t="shared" si="19"/>
        <v>01-1900</v>
      </c>
      <c r="Q409" t="str">
        <f t="shared" si="20"/>
        <v>Normal</v>
      </c>
    </row>
    <row r="410" spans="1:17" x14ac:dyDescent="0.3">
      <c r="A410" t="s">
        <v>228</v>
      </c>
      <c r="C410" t="s">
        <v>22</v>
      </c>
      <c r="D410" t="s">
        <v>23</v>
      </c>
      <c r="E410" t="s">
        <v>552</v>
      </c>
      <c r="F410" t="s">
        <v>552</v>
      </c>
      <c r="G410" t="s">
        <v>552</v>
      </c>
      <c r="H410">
        <v>3</v>
      </c>
      <c r="I410">
        <v>25999</v>
      </c>
      <c r="J410">
        <v>0</v>
      </c>
      <c r="K410" s="3">
        <v>0</v>
      </c>
      <c r="L410" t="s">
        <v>39</v>
      </c>
      <c r="M410" t="s">
        <v>16</v>
      </c>
      <c r="N410">
        <v>25999</v>
      </c>
      <c r="O410">
        <f t="shared" si="18"/>
        <v>77997</v>
      </c>
      <c r="P410" t="str">
        <f t="shared" si="19"/>
        <v>01-1900</v>
      </c>
      <c r="Q410" t="str">
        <f t="shared" si="20"/>
        <v>High</v>
      </c>
    </row>
    <row r="411" spans="1:17" x14ac:dyDescent="0.3">
      <c r="A411" t="s">
        <v>446</v>
      </c>
      <c r="B411" s="5">
        <v>45306</v>
      </c>
      <c r="C411" t="s">
        <v>12</v>
      </c>
      <c r="D411" t="s">
        <v>23</v>
      </c>
      <c r="E411" t="s">
        <v>36</v>
      </c>
      <c r="F411" t="s">
        <v>552</v>
      </c>
      <c r="G411" t="s">
        <v>552</v>
      </c>
      <c r="H411">
        <v>4</v>
      </c>
      <c r="I411">
        <v>799.5</v>
      </c>
      <c r="J411">
        <v>5</v>
      </c>
      <c r="K411" s="3">
        <v>-500</v>
      </c>
      <c r="L411" t="s">
        <v>552</v>
      </c>
      <c r="M411" t="s">
        <v>16</v>
      </c>
      <c r="N411">
        <v>3038.1</v>
      </c>
      <c r="O411">
        <f t="shared" si="18"/>
        <v>3198</v>
      </c>
      <c r="P411" t="str">
        <f t="shared" si="19"/>
        <v>01-2024</v>
      </c>
      <c r="Q411" t="str">
        <f t="shared" si="20"/>
        <v>Normal</v>
      </c>
    </row>
    <row r="412" spans="1:17" x14ac:dyDescent="0.3">
      <c r="A412" t="s">
        <v>447</v>
      </c>
      <c r="B412" s="5">
        <v>45376</v>
      </c>
      <c r="C412" t="s">
        <v>22</v>
      </c>
      <c r="D412" t="s">
        <v>52</v>
      </c>
      <c r="E412" t="s">
        <v>24</v>
      </c>
      <c r="F412" t="s">
        <v>14</v>
      </c>
      <c r="G412" t="s">
        <v>552</v>
      </c>
      <c r="H412">
        <v>1</v>
      </c>
      <c r="I412">
        <v>7830.7177904328155</v>
      </c>
      <c r="J412">
        <v>0</v>
      </c>
      <c r="K412" s="3">
        <v>499.99</v>
      </c>
      <c r="L412" t="s">
        <v>39</v>
      </c>
      <c r="M412" t="s">
        <v>16</v>
      </c>
      <c r="N412">
        <v>7830.7177904328155</v>
      </c>
      <c r="O412">
        <f t="shared" si="18"/>
        <v>7830.7177904328155</v>
      </c>
      <c r="P412" t="str">
        <f t="shared" si="19"/>
        <v>03-2024</v>
      </c>
      <c r="Q412" t="str">
        <f t="shared" si="20"/>
        <v>Normal</v>
      </c>
    </row>
    <row r="413" spans="1:17" x14ac:dyDescent="0.3">
      <c r="A413" t="s">
        <v>237</v>
      </c>
      <c r="C413" t="s">
        <v>22</v>
      </c>
      <c r="D413" t="s">
        <v>552</v>
      </c>
      <c r="E413" t="s">
        <v>36</v>
      </c>
      <c r="F413" t="s">
        <v>19</v>
      </c>
      <c r="G413" t="s">
        <v>552</v>
      </c>
      <c r="H413">
        <v>3</v>
      </c>
      <c r="I413">
        <v>12999</v>
      </c>
      <c r="J413">
        <v>5</v>
      </c>
      <c r="K413" s="3">
        <v>0</v>
      </c>
      <c r="L413" t="s">
        <v>552</v>
      </c>
      <c r="M413" t="s">
        <v>16</v>
      </c>
      <c r="N413">
        <v>25999</v>
      </c>
      <c r="O413">
        <f t="shared" si="18"/>
        <v>38997</v>
      </c>
      <c r="P413" t="str">
        <f t="shared" si="19"/>
        <v>01-1900</v>
      </c>
      <c r="Q413" t="str">
        <f t="shared" si="20"/>
        <v>High</v>
      </c>
    </row>
    <row r="414" spans="1:17" x14ac:dyDescent="0.3">
      <c r="A414" t="s">
        <v>449</v>
      </c>
      <c r="B414" s="5">
        <v>45376</v>
      </c>
      <c r="C414" t="s">
        <v>552</v>
      </c>
      <c r="D414" t="s">
        <v>13</v>
      </c>
      <c r="E414" t="s">
        <v>24</v>
      </c>
      <c r="F414" t="s">
        <v>552</v>
      </c>
      <c r="G414" t="s">
        <v>47</v>
      </c>
      <c r="H414">
        <v>4</v>
      </c>
      <c r="I414">
        <v>799.5</v>
      </c>
      <c r="J414">
        <v>10</v>
      </c>
      <c r="K414" s="3">
        <v>15000</v>
      </c>
      <c r="L414" t="s">
        <v>49</v>
      </c>
      <c r="M414" t="s">
        <v>30</v>
      </c>
      <c r="N414">
        <v>2878.2000000000003</v>
      </c>
      <c r="O414">
        <f t="shared" si="18"/>
        <v>3198</v>
      </c>
      <c r="P414" t="str">
        <f t="shared" si="19"/>
        <v>03-2024</v>
      </c>
      <c r="Q414" t="str">
        <f t="shared" si="20"/>
        <v>Normal</v>
      </c>
    </row>
    <row r="415" spans="1:17" x14ac:dyDescent="0.3">
      <c r="A415" t="s">
        <v>240</v>
      </c>
      <c r="C415" t="s">
        <v>22</v>
      </c>
      <c r="D415" t="s">
        <v>552</v>
      </c>
      <c r="E415" t="s">
        <v>552</v>
      </c>
      <c r="F415" t="s">
        <v>552</v>
      </c>
      <c r="G415" t="s">
        <v>28</v>
      </c>
      <c r="H415">
        <v>1</v>
      </c>
      <c r="I415">
        <v>25999</v>
      </c>
      <c r="J415">
        <v>5</v>
      </c>
      <c r="K415" s="3">
        <v>30000</v>
      </c>
      <c r="L415" t="s">
        <v>552</v>
      </c>
      <c r="M415" t="s">
        <v>552</v>
      </c>
      <c r="N415">
        <v>25999</v>
      </c>
      <c r="O415">
        <f t="shared" si="18"/>
        <v>25999</v>
      </c>
      <c r="P415" t="str">
        <f t="shared" si="19"/>
        <v>01-1900</v>
      </c>
      <c r="Q415" t="str">
        <f t="shared" si="20"/>
        <v>High</v>
      </c>
    </row>
    <row r="416" spans="1:17" x14ac:dyDescent="0.3">
      <c r="A416" t="s">
        <v>451</v>
      </c>
      <c r="C416" t="s">
        <v>22</v>
      </c>
      <c r="D416" t="s">
        <v>44</v>
      </c>
      <c r="E416" t="s">
        <v>552</v>
      </c>
      <c r="F416" t="s">
        <v>14</v>
      </c>
      <c r="G416" t="s">
        <v>47</v>
      </c>
      <c r="H416">
        <v>1</v>
      </c>
      <c r="I416">
        <v>12999</v>
      </c>
      <c r="J416">
        <v>0</v>
      </c>
      <c r="K416" s="3">
        <v>0</v>
      </c>
      <c r="L416" t="s">
        <v>39</v>
      </c>
      <c r="M416" t="s">
        <v>37</v>
      </c>
      <c r="N416">
        <v>12999</v>
      </c>
      <c r="O416">
        <f t="shared" si="18"/>
        <v>12999</v>
      </c>
      <c r="P416" t="str">
        <f t="shared" si="19"/>
        <v>01-1900</v>
      </c>
      <c r="Q416" t="str">
        <f t="shared" si="20"/>
        <v>High</v>
      </c>
    </row>
    <row r="417" spans="1:17" x14ac:dyDescent="0.3">
      <c r="A417" t="s">
        <v>452</v>
      </c>
      <c r="B417" s="5">
        <v>45306</v>
      </c>
      <c r="C417" t="s">
        <v>27</v>
      </c>
      <c r="D417" t="s">
        <v>13</v>
      </c>
      <c r="E417" t="s">
        <v>24</v>
      </c>
      <c r="F417" t="s">
        <v>19</v>
      </c>
      <c r="G417" t="s">
        <v>47</v>
      </c>
      <c r="H417">
        <v>3</v>
      </c>
      <c r="I417">
        <v>799.5</v>
      </c>
      <c r="J417">
        <v>50</v>
      </c>
      <c r="K417" s="3">
        <v>0</v>
      </c>
      <c r="L417" t="s">
        <v>39</v>
      </c>
      <c r="M417" t="s">
        <v>16</v>
      </c>
      <c r="N417">
        <v>1199.25</v>
      </c>
      <c r="O417">
        <f t="shared" si="18"/>
        <v>2398.5</v>
      </c>
      <c r="P417" t="str">
        <f t="shared" si="19"/>
        <v>01-2024</v>
      </c>
      <c r="Q417" t="str">
        <f t="shared" si="20"/>
        <v>Normal</v>
      </c>
    </row>
    <row r="418" spans="1:17" x14ac:dyDescent="0.3">
      <c r="A418" t="s">
        <v>244</v>
      </c>
      <c r="C418" t="s">
        <v>552</v>
      </c>
      <c r="D418" t="s">
        <v>552</v>
      </c>
      <c r="E418" t="s">
        <v>552</v>
      </c>
      <c r="F418" t="s">
        <v>552</v>
      </c>
      <c r="G418" t="s">
        <v>28</v>
      </c>
      <c r="H418">
        <v>1</v>
      </c>
      <c r="I418">
        <v>25999</v>
      </c>
      <c r="J418">
        <v>5</v>
      </c>
      <c r="K418" s="3">
        <v>499.99</v>
      </c>
      <c r="L418" t="s">
        <v>39</v>
      </c>
      <c r="M418" t="s">
        <v>33</v>
      </c>
      <c r="N418">
        <v>25999</v>
      </c>
      <c r="O418">
        <f t="shared" si="18"/>
        <v>25999</v>
      </c>
      <c r="P418" t="str">
        <f t="shared" si="19"/>
        <v>01-1900</v>
      </c>
      <c r="Q418" t="str">
        <f t="shared" si="20"/>
        <v>High</v>
      </c>
    </row>
    <row r="419" spans="1:17" x14ac:dyDescent="0.3">
      <c r="A419" t="s">
        <v>256</v>
      </c>
      <c r="C419" t="s">
        <v>32</v>
      </c>
      <c r="D419" t="s">
        <v>23</v>
      </c>
      <c r="E419" t="s">
        <v>552</v>
      </c>
      <c r="F419" t="s">
        <v>25</v>
      </c>
      <c r="G419" t="s">
        <v>20</v>
      </c>
      <c r="H419">
        <v>1</v>
      </c>
      <c r="I419">
        <v>25999</v>
      </c>
      <c r="J419">
        <v>15</v>
      </c>
      <c r="K419" s="3">
        <v>0</v>
      </c>
      <c r="L419" t="s">
        <v>29</v>
      </c>
      <c r="M419" t="s">
        <v>552</v>
      </c>
      <c r="N419">
        <v>25999</v>
      </c>
      <c r="O419">
        <f t="shared" si="18"/>
        <v>25999</v>
      </c>
      <c r="P419" t="str">
        <f t="shared" si="19"/>
        <v>01-1900</v>
      </c>
      <c r="Q419" t="str">
        <f t="shared" si="20"/>
        <v>High</v>
      </c>
    </row>
    <row r="420" spans="1:17" x14ac:dyDescent="0.3">
      <c r="A420" t="s">
        <v>264</v>
      </c>
      <c r="C420" t="s">
        <v>12</v>
      </c>
      <c r="D420" t="s">
        <v>52</v>
      </c>
      <c r="E420" t="s">
        <v>552</v>
      </c>
      <c r="F420" t="s">
        <v>552</v>
      </c>
      <c r="G420" t="s">
        <v>60</v>
      </c>
      <c r="H420">
        <v>1</v>
      </c>
      <c r="I420">
        <v>12999</v>
      </c>
      <c r="J420">
        <v>0</v>
      </c>
      <c r="K420" s="3">
        <v>0</v>
      </c>
      <c r="L420" t="s">
        <v>53</v>
      </c>
      <c r="M420" t="s">
        <v>552</v>
      </c>
      <c r="N420">
        <v>25998</v>
      </c>
      <c r="O420">
        <f t="shared" si="18"/>
        <v>12999</v>
      </c>
      <c r="P420" t="str">
        <f t="shared" si="19"/>
        <v>01-1900</v>
      </c>
      <c r="Q420" t="str">
        <f t="shared" si="20"/>
        <v>High</v>
      </c>
    </row>
    <row r="421" spans="1:17" x14ac:dyDescent="0.3">
      <c r="A421" t="s">
        <v>271</v>
      </c>
      <c r="C421" t="s">
        <v>22</v>
      </c>
      <c r="D421" t="s">
        <v>23</v>
      </c>
      <c r="E421" t="s">
        <v>36</v>
      </c>
      <c r="F421" t="s">
        <v>552</v>
      </c>
      <c r="G421" t="s">
        <v>47</v>
      </c>
      <c r="H421">
        <v>4</v>
      </c>
      <c r="I421">
        <v>7830.7177904328155</v>
      </c>
      <c r="J421">
        <v>0</v>
      </c>
      <c r="K421" s="3">
        <v>15000</v>
      </c>
      <c r="L421" t="s">
        <v>53</v>
      </c>
      <c r="M421" t="s">
        <v>30</v>
      </c>
      <c r="N421">
        <v>25998</v>
      </c>
      <c r="O421">
        <f t="shared" si="18"/>
        <v>31322.871161731262</v>
      </c>
      <c r="P421" t="str">
        <f t="shared" si="19"/>
        <v>01-1900</v>
      </c>
      <c r="Q421" t="str">
        <f t="shared" si="20"/>
        <v>High</v>
      </c>
    </row>
    <row r="422" spans="1:17" x14ac:dyDescent="0.3">
      <c r="A422" t="s">
        <v>286</v>
      </c>
      <c r="C422" t="s">
        <v>32</v>
      </c>
      <c r="D422" t="s">
        <v>52</v>
      </c>
      <c r="E422" t="s">
        <v>552</v>
      </c>
      <c r="F422" t="s">
        <v>14</v>
      </c>
      <c r="G422" t="s">
        <v>552</v>
      </c>
      <c r="H422">
        <v>4</v>
      </c>
      <c r="I422">
        <v>7830.7177904328155</v>
      </c>
      <c r="J422">
        <v>50</v>
      </c>
      <c r="K422" s="3">
        <v>30000</v>
      </c>
      <c r="L422" t="s">
        <v>29</v>
      </c>
      <c r="M422" t="s">
        <v>552</v>
      </c>
      <c r="N422">
        <v>25998</v>
      </c>
      <c r="O422">
        <f t="shared" si="18"/>
        <v>31322.871161731262</v>
      </c>
      <c r="P422" t="str">
        <f t="shared" si="19"/>
        <v>01-1900</v>
      </c>
      <c r="Q422" t="str">
        <f t="shared" si="20"/>
        <v>High</v>
      </c>
    </row>
    <row r="423" spans="1:17" x14ac:dyDescent="0.3">
      <c r="A423" t="s">
        <v>301</v>
      </c>
      <c r="C423" t="s">
        <v>552</v>
      </c>
      <c r="D423" t="s">
        <v>13</v>
      </c>
      <c r="E423" t="s">
        <v>36</v>
      </c>
      <c r="F423" t="s">
        <v>19</v>
      </c>
      <c r="G423" t="s">
        <v>15</v>
      </c>
      <c r="H423">
        <v>4</v>
      </c>
      <c r="I423">
        <v>7830.7177904328155</v>
      </c>
      <c r="J423">
        <v>50</v>
      </c>
      <c r="K423" s="3">
        <v>0</v>
      </c>
      <c r="L423" t="s">
        <v>53</v>
      </c>
      <c r="M423" t="s">
        <v>552</v>
      </c>
      <c r="N423">
        <v>24699.05</v>
      </c>
      <c r="O423">
        <f t="shared" si="18"/>
        <v>31322.871161731262</v>
      </c>
      <c r="P423" t="str">
        <f t="shared" si="19"/>
        <v>01-1900</v>
      </c>
      <c r="Q423" t="str">
        <f t="shared" si="20"/>
        <v>High</v>
      </c>
    </row>
    <row r="424" spans="1:17" x14ac:dyDescent="0.3">
      <c r="A424" t="s">
        <v>459</v>
      </c>
      <c r="B424" s="5">
        <v>45337</v>
      </c>
      <c r="C424" t="s">
        <v>552</v>
      </c>
      <c r="D424" t="s">
        <v>13</v>
      </c>
      <c r="E424" t="s">
        <v>36</v>
      </c>
      <c r="F424" t="s">
        <v>19</v>
      </c>
      <c r="G424" t="s">
        <v>15</v>
      </c>
      <c r="H424">
        <v>1</v>
      </c>
      <c r="I424">
        <v>25999</v>
      </c>
      <c r="J424">
        <v>0</v>
      </c>
      <c r="K424" s="3">
        <v>-500</v>
      </c>
      <c r="L424" t="s">
        <v>39</v>
      </c>
      <c r="M424" t="s">
        <v>37</v>
      </c>
      <c r="N424">
        <v>25999</v>
      </c>
      <c r="O424">
        <f t="shared" si="18"/>
        <v>25999</v>
      </c>
      <c r="P424" t="str">
        <f t="shared" si="19"/>
        <v>02-2024</v>
      </c>
      <c r="Q424" t="str">
        <f t="shared" si="20"/>
        <v>High</v>
      </c>
    </row>
    <row r="425" spans="1:17" x14ac:dyDescent="0.3">
      <c r="A425" t="s">
        <v>460</v>
      </c>
      <c r="B425" s="5">
        <v>45306</v>
      </c>
      <c r="C425" t="s">
        <v>22</v>
      </c>
      <c r="D425" t="s">
        <v>23</v>
      </c>
      <c r="E425" t="s">
        <v>552</v>
      </c>
      <c r="F425" t="s">
        <v>25</v>
      </c>
      <c r="G425" t="s">
        <v>47</v>
      </c>
      <c r="H425">
        <v>3</v>
      </c>
      <c r="I425">
        <v>799.5</v>
      </c>
      <c r="J425">
        <v>0</v>
      </c>
      <c r="K425" s="3">
        <v>30000</v>
      </c>
      <c r="L425" t="s">
        <v>49</v>
      </c>
      <c r="M425" t="s">
        <v>37</v>
      </c>
      <c r="N425">
        <v>2398.5</v>
      </c>
      <c r="O425">
        <f t="shared" si="18"/>
        <v>2398.5</v>
      </c>
      <c r="P425" t="str">
        <f t="shared" si="19"/>
        <v>01-2024</v>
      </c>
      <c r="Q425" t="str">
        <f t="shared" si="20"/>
        <v>Normal</v>
      </c>
    </row>
    <row r="426" spans="1:17" x14ac:dyDescent="0.3">
      <c r="A426" t="s">
        <v>309</v>
      </c>
      <c r="C426" t="s">
        <v>27</v>
      </c>
      <c r="D426" t="s">
        <v>23</v>
      </c>
      <c r="E426" t="s">
        <v>24</v>
      </c>
      <c r="F426" t="s">
        <v>25</v>
      </c>
      <c r="G426" t="s">
        <v>552</v>
      </c>
      <c r="H426">
        <v>3</v>
      </c>
      <c r="I426">
        <v>25999</v>
      </c>
      <c r="J426">
        <v>15</v>
      </c>
      <c r="K426" s="3">
        <v>30000</v>
      </c>
      <c r="L426" t="s">
        <v>552</v>
      </c>
      <c r="M426" t="s">
        <v>552</v>
      </c>
      <c r="N426">
        <v>24698.1</v>
      </c>
      <c r="O426">
        <f t="shared" si="18"/>
        <v>77997</v>
      </c>
      <c r="P426" t="str">
        <f t="shared" si="19"/>
        <v>01-1900</v>
      </c>
      <c r="Q426" t="str">
        <f t="shared" si="20"/>
        <v>High</v>
      </c>
    </row>
    <row r="427" spans="1:17" x14ac:dyDescent="0.3">
      <c r="A427" t="s">
        <v>310</v>
      </c>
      <c r="C427" t="s">
        <v>22</v>
      </c>
      <c r="D427" t="s">
        <v>552</v>
      </c>
      <c r="E427" t="s">
        <v>552</v>
      </c>
      <c r="F427" t="s">
        <v>25</v>
      </c>
      <c r="G427" t="s">
        <v>552</v>
      </c>
      <c r="H427">
        <v>1</v>
      </c>
      <c r="I427">
        <v>12999</v>
      </c>
      <c r="J427">
        <v>5</v>
      </c>
      <c r="K427" s="3">
        <v>15000</v>
      </c>
      <c r="L427" t="s">
        <v>552</v>
      </c>
      <c r="M427" t="s">
        <v>552</v>
      </c>
      <c r="N427">
        <v>24698.1</v>
      </c>
      <c r="O427">
        <f t="shared" si="18"/>
        <v>12999</v>
      </c>
      <c r="P427" t="str">
        <f t="shared" si="19"/>
        <v>01-1900</v>
      </c>
      <c r="Q427" t="str">
        <f t="shared" si="20"/>
        <v>High</v>
      </c>
    </row>
    <row r="428" spans="1:17" x14ac:dyDescent="0.3">
      <c r="A428" t="s">
        <v>311</v>
      </c>
      <c r="C428" t="s">
        <v>22</v>
      </c>
      <c r="D428" t="s">
        <v>552</v>
      </c>
      <c r="E428" t="s">
        <v>552</v>
      </c>
      <c r="F428" t="s">
        <v>19</v>
      </c>
      <c r="G428" t="s">
        <v>28</v>
      </c>
      <c r="H428">
        <v>2</v>
      </c>
      <c r="I428">
        <v>7830.7177904328155</v>
      </c>
      <c r="J428">
        <v>5</v>
      </c>
      <c r="K428" s="3">
        <v>30000</v>
      </c>
      <c r="L428" t="s">
        <v>552</v>
      </c>
      <c r="M428" t="s">
        <v>33</v>
      </c>
      <c r="N428">
        <v>24698.1</v>
      </c>
      <c r="O428">
        <f t="shared" si="18"/>
        <v>15661.435580865631</v>
      </c>
      <c r="P428" t="str">
        <f t="shared" si="19"/>
        <v>01-1900</v>
      </c>
      <c r="Q428" t="str">
        <f t="shared" si="20"/>
        <v>High</v>
      </c>
    </row>
    <row r="429" spans="1:17" x14ac:dyDescent="0.3">
      <c r="A429" t="s">
        <v>344</v>
      </c>
      <c r="C429" t="s">
        <v>552</v>
      </c>
      <c r="D429" t="s">
        <v>52</v>
      </c>
      <c r="E429" t="s">
        <v>36</v>
      </c>
      <c r="F429" t="s">
        <v>25</v>
      </c>
      <c r="G429" t="s">
        <v>47</v>
      </c>
      <c r="H429">
        <v>1</v>
      </c>
      <c r="I429">
        <v>25999</v>
      </c>
      <c r="J429">
        <v>5</v>
      </c>
      <c r="K429" s="3">
        <v>-500</v>
      </c>
      <c r="L429" t="s">
        <v>39</v>
      </c>
      <c r="M429" t="s">
        <v>33</v>
      </c>
      <c r="N429">
        <v>23399.100000000002</v>
      </c>
      <c r="O429">
        <f t="shared" si="18"/>
        <v>25999</v>
      </c>
      <c r="P429" t="str">
        <f t="shared" si="19"/>
        <v>01-1900</v>
      </c>
      <c r="Q429" t="str">
        <f t="shared" si="20"/>
        <v>High</v>
      </c>
    </row>
    <row r="430" spans="1:17" x14ac:dyDescent="0.3">
      <c r="A430" t="s">
        <v>346</v>
      </c>
      <c r="C430" t="s">
        <v>552</v>
      </c>
      <c r="D430" t="s">
        <v>552</v>
      </c>
      <c r="E430" t="s">
        <v>24</v>
      </c>
      <c r="F430" t="s">
        <v>552</v>
      </c>
      <c r="G430" t="s">
        <v>20</v>
      </c>
      <c r="H430">
        <v>1</v>
      </c>
      <c r="I430">
        <v>25999</v>
      </c>
      <c r="J430">
        <v>15</v>
      </c>
      <c r="K430" s="3">
        <v>0</v>
      </c>
      <c r="L430" t="s">
        <v>39</v>
      </c>
      <c r="M430" t="s">
        <v>16</v>
      </c>
      <c r="N430">
        <v>23399.100000000002</v>
      </c>
      <c r="O430">
        <f t="shared" si="18"/>
        <v>25999</v>
      </c>
      <c r="P430" t="str">
        <f t="shared" si="19"/>
        <v>01-1900</v>
      </c>
      <c r="Q430" t="str">
        <f t="shared" si="20"/>
        <v>High</v>
      </c>
    </row>
    <row r="431" spans="1:17" x14ac:dyDescent="0.3">
      <c r="A431" t="s">
        <v>361</v>
      </c>
      <c r="C431" t="s">
        <v>552</v>
      </c>
      <c r="D431" t="s">
        <v>552</v>
      </c>
      <c r="E431" t="s">
        <v>36</v>
      </c>
      <c r="F431" t="s">
        <v>552</v>
      </c>
      <c r="G431" t="s">
        <v>60</v>
      </c>
      <c r="H431">
        <v>3</v>
      </c>
      <c r="I431">
        <v>7830.7177904328155</v>
      </c>
      <c r="J431">
        <v>5</v>
      </c>
      <c r="K431" s="3">
        <v>-500</v>
      </c>
      <c r="L431" t="s">
        <v>39</v>
      </c>
      <c r="M431" t="s">
        <v>552</v>
      </c>
      <c r="N431">
        <v>22317.545702733521</v>
      </c>
      <c r="O431">
        <f t="shared" si="18"/>
        <v>23492.153371298446</v>
      </c>
      <c r="P431" t="str">
        <f t="shared" si="19"/>
        <v>01-1900</v>
      </c>
      <c r="Q431" t="str">
        <f t="shared" si="20"/>
        <v>High</v>
      </c>
    </row>
    <row r="432" spans="1:17" x14ac:dyDescent="0.3">
      <c r="A432" t="s">
        <v>467</v>
      </c>
      <c r="C432" t="s">
        <v>32</v>
      </c>
      <c r="D432" t="s">
        <v>44</v>
      </c>
      <c r="E432" t="s">
        <v>552</v>
      </c>
      <c r="F432" t="s">
        <v>19</v>
      </c>
      <c r="G432" t="s">
        <v>15</v>
      </c>
      <c r="H432">
        <v>2</v>
      </c>
      <c r="I432">
        <v>25999</v>
      </c>
      <c r="J432">
        <v>5</v>
      </c>
      <c r="K432" s="3">
        <v>30000</v>
      </c>
      <c r="L432" t="s">
        <v>39</v>
      </c>
      <c r="M432" t="s">
        <v>37</v>
      </c>
      <c r="N432">
        <v>49398.1</v>
      </c>
      <c r="O432">
        <f t="shared" si="18"/>
        <v>51998</v>
      </c>
      <c r="P432" t="str">
        <f t="shared" si="19"/>
        <v>01-1900</v>
      </c>
      <c r="Q432" t="str">
        <f t="shared" si="20"/>
        <v>High</v>
      </c>
    </row>
    <row r="433" spans="1:17" x14ac:dyDescent="0.3">
      <c r="A433" t="s">
        <v>468</v>
      </c>
      <c r="C433" t="s">
        <v>22</v>
      </c>
      <c r="D433" t="s">
        <v>23</v>
      </c>
      <c r="E433" t="s">
        <v>24</v>
      </c>
      <c r="F433" t="s">
        <v>14</v>
      </c>
      <c r="G433" t="s">
        <v>60</v>
      </c>
      <c r="H433">
        <v>2</v>
      </c>
      <c r="I433">
        <v>499.99</v>
      </c>
      <c r="J433">
        <v>5</v>
      </c>
      <c r="K433" s="3">
        <v>15000</v>
      </c>
      <c r="L433" t="s">
        <v>552</v>
      </c>
      <c r="M433" t="s">
        <v>552</v>
      </c>
      <c r="N433">
        <v>949.98099999999999</v>
      </c>
      <c r="O433">
        <f t="shared" si="18"/>
        <v>999.98</v>
      </c>
      <c r="P433" t="str">
        <f t="shared" si="19"/>
        <v>01-1900</v>
      </c>
      <c r="Q433" t="str">
        <f t="shared" si="20"/>
        <v>Normal</v>
      </c>
    </row>
    <row r="434" spans="1:17" x14ac:dyDescent="0.3">
      <c r="A434" t="s">
        <v>364</v>
      </c>
      <c r="C434" t="s">
        <v>552</v>
      </c>
      <c r="D434" t="s">
        <v>552</v>
      </c>
      <c r="E434" t="s">
        <v>552</v>
      </c>
      <c r="F434" t="s">
        <v>19</v>
      </c>
      <c r="G434" t="s">
        <v>552</v>
      </c>
      <c r="H434">
        <v>1</v>
      </c>
      <c r="I434">
        <v>12999</v>
      </c>
      <c r="J434">
        <v>5</v>
      </c>
      <c r="K434" s="3">
        <v>-500</v>
      </c>
      <c r="L434" t="s">
        <v>552</v>
      </c>
      <c r="M434" t="s">
        <v>552</v>
      </c>
      <c r="N434">
        <v>22317.545702733521</v>
      </c>
      <c r="O434">
        <f t="shared" si="18"/>
        <v>12999</v>
      </c>
      <c r="P434" t="str">
        <f t="shared" si="19"/>
        <v>01-1900</v>
      </c>
      <c r="Q434" t="str">
        <f t="shared" si="20"/>
        <v>High</v>
      </c>
    </row>
    <row r="435" spans="1:17" x14ac:dyDescent="0.3">
      <c r="A435" t="s">
        <v>470</v>
      </c>
      <c r="C435" t="s">
        <v>552</v>
      </c>
      <c r="D435" t="s">
        <v>44</v>
      </c>
      <c r="E435" t="s">
        <v>24</v>
      </c>
      <c r="F435" t="s">
        <v>19</v>
      </c>
      <c r="G435" t="s">
        <v>552</v>
      </c>
      <c r="H435">
        <v>1</v>
      </c>
      <c r="I435">
        <v>499.99</v>
      </c>
      <c r="J435">
        <v>15</v>
      </c>
      <c r="K435" s="3">
        <v>15000</v>
      </c>
      <c r="L435" t="s">
        <v>552</v>
      </c>
      <c r="M435" t="s">
        <v>37</v>
      </c>
      <c r="N435">
        <v>424.99149999999997</v>
      </c>
      <c r="O435">
        <f t="shared" si="18"/>
        <v>499.99</v>
      </c>
      <c r="P435" t="str">
        <f t="shared" si="19"/>
        <v>01-1900</v>
      </c>
      <c r="Q435" t="str">
        <f t="shared" si="20"/>
        <v>Normal</v>
      </c>
    </row>
    <row r="436" spans="1:17" x14ac:dyDescent="0.3">
      <c r="A436" t="s">
        <v>375</v>
      </c>
      <c r="C436" t="s">
        <v>22</v>
      </c>
      <c r="D436" t="s">
        <v>44</v>
      </c>
      <c r="E436" t="s">
        <v>552</v>
      </c>
      <c r="F436" t="s">
        <v>19</v>
      </c>
      <c r="G436" t="s">
        <v>552</v>
      </c>
      <c r="H436">
        <v>1</v>
      </c>
      <c r="I436">
        <v>25999</v>
      </c>
      <c r="J436">
        <v>0</v>
      </c>
      <c r="K436" s="3">
        <v>-500</v>
      </c>
      <c r="L436" t="s">
        <v>552</v>
      </c>
      <c r="M436" t="s">
        <v>33</v>
      </c>
      <c r="N436">
        <v>22099.149999999998</v>
      </c>
      <c r="O436">
        <f t="shared" si="18"/>
        <v>25999</v>
      </c>
      <c r="P436" t="str">
        <f t="shared" si="19"/>
        <v>01-1900</v>
      </c>
      <c r="Q436" t="str">
        <f t="shared" si="20"/>
        <v>High</v>
      </c>
    </row>
    <row r="437" spans="1:17" x14ac:dyDescent="0.3">
      <c r="A437" t="s">
        <v>472</v>
      </c>
      <c r="B437" s="5">
        <v>45306</v>
      </c>
      <c r="C437" t="s">
        <v>552</v>
      </c>
      <c r="D437" t="s">
        <v>552</v>
      </c>
      <c r="E437" t="s">
        <v>552</v>
      </c>
      <c r="F437" t="s">
        <v>19</v>
      </c>
      <c r="G437" t="s">
        <v>20</v>
      </c>
      <c r="H437">
        <v>1</v>
      </c>
      <c r="I437">
        <v>7830.7177904328155</v>
      </c>
      <c r="J437">
        <v>50</v>
      </c>
      <c r="K437" s="3">
        <v>15000</v>
      </c>
      <c r="L437" t="s">
        <v>39</v>
      </c>
      <c r="M437" t="s">
        <v>37</v>
      </c>
      <c r="N437">
        <v>3915.3588952164077</v>
      </c>
      <c r="O437">
        <f t="shared" si="18"/>
        <v>7830.7177904328155</v>
      </c>
      <c r="P437" t="str">
        <f t="shared" si="19"/>
        <v>01-2024</v>
      </c>
      <c r="Q437" t="str">
        <f t="shared" si="20"/>
        <v>Normal</v>
      </c>
    </row>
    <row r="438" spans="1:17" x14ac:dyDescent="0.3">
      <c r="A438" t="s">
        <v>473</v>
      </c>
      <c r="B438" s="5">
        <v>45376</v>
      </c>
      <c r="C438" t="s">
        <v>32</v>
      </c>
      <c r="D438" t="s">
        <v>44</v>
      </c>
      <c r="E438" t="s">
        <v>552</v>
      </c>
      <c r="F438" t="s">
        <v>19</v>
      </c>
      <c r="G438" t="s">
        <v>60</v>
      </c>
      <c r="H438">
        <v>3</v>
      </c>
      <c r="I438">
        <v>499.99</v>
      </c>
      <c r="J438">
        <v>0</v>
      </c>
      <c r="K438" s="3">
        <v>-500</v>
      </c>
      <c r="L438" t="s">
        <v>29</v>
      </c>
      <c r="M438" t="s">
        <v>552</v>
      </c>
      <c r="N438">
        <v>1499.97</v>
      </c>
      <c r="O438">
        <f t="shared" si="18"/>
        <v>1499.97</v>
      </c>
      <c r="P438" t="str">
        <f t="shared" si="19"/>
        <v>03-2024</v>
      </c>
      <c r="Q438" t="str">
        <f t="shared" si="20"/>
        <v>Normal</v>
      </c>
    </row>
    <row r="439" spans="1:17" x14ac:dyDescent="0.3">
      <c r="A439" t="s">
        <v>474</v>
      </c>
      <c r="C439" t="s">
        <v>12</v>
      </c>
      <c r="D439" t="s">
        <v>552</v>
      </c>
      <c r="E439" t="s">
        <v>552</v>
      </c>
      <c r="F439" t="s">
        <v>552</v>
      </c>
      <c r="G439" t="s">
        <v>15</v>
      </c>
      <c r="H439">
        <v>1</v>
      </c>
      <c r="I439">
        <v>499.99</v>
      </c>
      <c r="J439">
        <v>5</v>
      </c>
      <c r="K439" s="3">
        <v>30000</v>
      </c>
      <c r="L439" t="s">
        <v>39</v>
      </c>
      <c r="M439" t="s">
        <v>30</v>
      </c>
      <c r="N439">
        <v>474.9905</v>
      </c>
      <c r="O439">
        <f t="shared" si="18"/>
        <v>499.99</v>
      </c>
      <c r="P439" t="str">
        <f t="shared" si="19"/>
        <v>01-1900</v>
      </c>
      <c r="Q439" t="str">
        <f t="shared" si="20"/>
        <v>Normal</v>
      </c>
    </row>
    <row r="440" spans="1:17" x14ac:dyDescent="0.3">
      <c r="A440" t="s">
        <v>475</v>
      </c>
      <c r="B440" s="5">
        <v>45337</v>
      </c>
      <c r="C440" t="s">
        <v>552</v>
      </c>
      <c r="D440" t="s">
        <v>52</v>
      </c>
      <c r="E440" t="s">
        <v>18</v>
      </c>
      <c r="F440" t="s">
        <v>25</v>
      </c>
      <c r="G440" t="s">
        <v>47</v>
      </c>
      <c r="H440">
        <v>2</v>
      </c>
      <c r="I440">
        <v>7830.7177904328155</v>
      </c>
      <c r="J440">
        <v>50</v>
      </c>
      <c r="K440" s="3">
        <v>0</v>
      </c>
      <c r="L440" t="s">
        <v>29</v>
      </c>
      <c r="M440" t="s">
        <v>37</v>
      </c>
      <c r="N440">
        <v>7830.7177904328155</v>
      </c>
      <c r="O440">
        <f t="shared" si="18"/>
        <v>15661.435580865631</v>
      </c>
      <c r="P440" t="str">
        <f t="shared" si="19"/>
        <v>02-2024</v>
      </c>
      <c r="Q440" t="str">
        <f t="shared" si="20"/>
        <v>Normal</v>
      </c>
    </row>
    <row r="441" spans="1:17" x14ac:dyDescent="0.3">
      <c r="A441" t="s">
        <v>377</v>
      </c>
      <c r="C441" t="s">
        <v>12</v>
      </c>
      <c r="D441" t="s">
        <v>23</v>
      </c>
      <c r="E441" t="s">
        <v>552</v>
      </c>
      <c r="F441" t="s">
        <v>552</v>
      </c>
      <c r="G441" t="s">
        <v>15</v>
      </c>
      <c r="H441">
        <v>4</v>
      </c>
      <c r="I441">
        <v>12999</v>
      </c>
      <c r="J441">
        <v>0</v>
      </c>
      <c r="K441" s="3">
        <v>-500</v>
      </c>
      <c r="L441" t="s">
        <v>39</v>
      </c>
      <c r="M441" t="s">
        <v>552</v>
      </c>
      <c r="N441">
        <v>22099.149999999998</v>
      </c>
      <c r="O441">
        <f t="shared" si="18"/>
        <v>51996</v>
      </c>
      <c r="P441" t="str">
        <f t="shared" si="19"/>
        <v>01-1900</v>
      </c>
      <c r="Q441" t="str">
        <f t="shared" si="20"/>
        <v>High</v>
      </c>
    </row>
    <row r="442" spans="1:17" x14ac:dyDescent="0.3">
      <c r="A442" t="s">
        <v>477</v>
      </c>
      <c r="C442" t="s">
        <v>22</v>
      </c>
      <c r="D442" t="s">
        <v>44</v>
      </c>
      <c r="E442" t="s">
        <v>552</v>
      </c>
      <c r="F442" t="s">
        <v>552</v>
      </c>
      <c r="G442" t="s">
        <v>28</v>
      </c>
      <c r="H442">
        <v>1</v>
      </c>
      <c r="I442">
        <v>7830.7177904328155</v>
      </c>
      <c r="J442">
        <v>0</v>
      </c>
      <c r="K442" s="3">
        <v>0</v>
      </c>
      <c r="L442" t="s">
        <v>552</v>
      </c>
      <c r="M442" t="s">
        <v>33</v>
      </c>
      <c r="N442">
        <v>7830.7177904328155</v>
      </c>
      <c r="O442">
        <f t="shared" si="18"/>
        <v>7830.7177904328155</v>
      </c>
      <c r="P442" t="str">
        <f t="shared" si="19"/>
        <v>01-1900</v>
      </c>
      <c r="Q442" t="str">
        <f t="shared" si="20"/>
        <v>Normal</v>
      </c>
    </row>
    <row r="443" spans="1:17" x14ac:dyDescent="0.3">
      <c r="A443" t="s">
        <v>478</v>
      </c>
      <c r="B443" s="5">
        <v>45306</v>
      </c>
      <c r="C443" t="s">
        <v>552</v>
      </c>
      <c r="D443" t="s">
        <v>52</v>
      </c>
      <c r="E443" t="s">
        <v>36</v>
      </c>
      <c r="F443" t="s">
        <v>14</v>
      </c>
      <c r="G443" t="s">
        <v>552</v>
      </c>
      <c r="H443">
        <v>1</v>
      </c>
      <c r="I443">
        <v>7830.7177904328155</v>
      </c>
      <c r="J443">
        <v>0</v>
      </c>
      <c r="K443" s="3">
        <v>-500</v>
      </c>
      <c r="L443" t="s">
        <v>53</v>
      </c>
      <c r="M443" t="s">
        <v>552</v>
      </c>
      <c r="N443">
        <v>7830.7177904328155</v>
      </c>
      <c r="O443">
        <f t="shared" si="18"/>
        <v>7830.7177904328155</v>
      </c>
      <c r="P443" t="str">
        <f t="shared" si="19"/>
        <v>01-2024</v>
      </c>
      <c r="Q443" t="str">
        <f t="shared" si="20"/>
        <v>Normal</v>
      </c>
    </row>
    <row r="444" spans="1:17" x14ac:dyDescent="0.3">
      <c r="A444" t="s">
        <v>394</v>
      </c>
      <c r="C444" t="s">
        <v>27</v>
      </c>
      <c r="D444" t="s">
        <v>44</v>
      </c>
      <c r="E444" t="s">
        <v>552</v>
      </c>
      <c r="F444" t="s">
        <v>552</v>
      </c>
      <c r="G444" t="s">
        <v>552</v>
      </c>
      <c r="H444">
        <v>2</v>
      </c>
      <c r="I444">
        <v>12999</v>
      </c>
      <c r="J444">
        <v>0</v>
      </c>
      <c r="K444" s="3">
        <v>30000</v>
      </c>
      <c r="L444" t="s">
        <v>29</v>
      </c>
      <c r="M444" t="s">
        <v>30</v>
      </c>
      <c r="N444">
        <v>22099.149999999998</v>
      </c>
      <c r="O444">
        <f t="shared" si="18"/>
        <v>25998</v>
      </c>
      <c r="P444" t="str">
        <f t="shared" si="19"/>
        <v>01-1900</v>
      </c>
      <c r="Q444" t="str">
        <f t="shared" si="20"/>
        <v>High</v>
      </c>
    </row>
    <row r="445" spans="1:17" x14ac:dyDescent="0.3">
      <c r="A445" t="s">
        <v>480</v>
      </c>
      <c r="B445" s="5">
        <v>45376</v>
      </c>
      <c r="C445" t="s">
        <v>22</v>
      </c>
      <c r="D445" t="s">
        <v>52</v>
      </c>
      <c r="E445" t="s">
        <v>552</v>
      </c>
      <c r="F445" t="s">
        <v>19</v>
      </c>
      <c r="G445" t="s">
        <v>28</v>
      </c>
      <c r="H445">
        <v>2</v>
      </c>
      <c r="I445">
        <v>7830.7177904328155</v>
      </c>
      <c r="J445">
        <v>10</v>
      </c>
      <c r="K445" s="3">
        <v>0</v>
      </c>
      <c r="L445" t="s">
        <v>552</v>
      </c>
      <c r="M445" t="s">
        <v>37</v>
      </c>
      <c r="N445">
        <v>14095.292022779067</v>
      </c>
      <c r="O445">
        <f t="shared" si="18"/>
        <v>15661.435580865631</v>
      </c>
      <c r="P445" t="str">
        <f t="shared" si="19"/>
        <v>03-2024</v>
      </c>
      <c r="Q445" t="str">
        <f t="shared" si="20"/>
        <v>High</v>
      </c>
    </row>
    <row r="446" spans="1:17" x14ac:dyDescent="0.3">
      <c r="A446" t="s">
        <v>481</v>
      </c>
      <c r="C446" t="s">
        <v>552</v>
      </c>
      <c r="D446" t="s">
        <v>44</v>
      </c>
      <c r="E446" t="s">
        <v>36</v>
      </c>
      <c r="F446" t="s">
        <v>14</v>
      </c>
      <c r="G446" t="s">
        <v>20</v>
      </c>
      <c r="H446">
        <v>1</v>
      </c>
      <c r="I446">
        <v>499.99</v>
      </c>
      <c r="J446">
        <v>5</v>
      </c>
      <c r="K446" s="3">
        <v>-500</v>
      </c>
      <c r="L446" t="s">
        <v>552</v>
      </c>
      <c r="M446" t="s">
        <v>552</v>
      </c>
      <c r="N446">
        <v>474.9905</v>
      </c>
      <c r="O446">
        <f t="shared" si="18"/>
        <v>499.99</v>
      </c>
      <c r="P446" t="str">
        <f t="shared" si="19"/>
        <v>01-1900</v>
      </c>
      <c r="Q446" t="str">
        <f t="shared" si="20"/>
        <v>Normal</v>
      </c>
    </row>
    <row r="447" spans="1:17" x14ac:dyDescent="0.3">
      <c r="A447" t="s">
        <v>396</v>
      </c>
      <c r="C447" t="s">
        <v>32</v>
      </c>
      <c r="D447" t="s">
        <v>52</v>
      </c>
      <c r="E447" t="s">
        <v>552</v>
      </c>
      <c r="F447" t="s">
        <v>552</v>
      </c>
      <c r="G447" t="s">
        <v>47</v>
      </c>
      <c r="H447">
        <v>4</v>
      </c>
      <c r="I447">
        <v>25999</v>
      </c>
      <c r="J447">
        <v>50</v>
      </c>
      <c r="K447" s="3">
        <v>15000</v>
      </c>
      <c r="L447" t="s">
        <v>552</v>
      </c>
      <c r="M447" t="s">
        <v>552</v>
      </c>
      <c r="N447">
        <v>22099.149999999998</v>
      </c>
      <c r="O447">
        <f t="shared" si="18"/>
        <v>103996</v>
      </c>
      <c r="P447" t="str">
        <f t="shared" si="19"/>
        <v>01-1900</v>
      </c>
      <c r="Q447" t="str">
        <f t="shared" si="20"/>
        <v>High</v>
      </c>
    </row>
    <row r="448" spans="1:17" x14ac:dyDescent="0.3">
      <c r="A448" t="s">
        <v>483</v>
      </c>
      <c r="B448" s="5">
        <v>45306</v>
      </c>
      <c r="C448" t="s">
        <v>552</v>
      </c>
      <c r="D448" t="s">
        <v>52</v>
      </c>
      <c r="E448" t="s">
        <v>18</v>
      </c>
      <c r="F448" t="s">
        <v>552</v>
      </c>
      <c r="G448" t="s">
        <v>60</v>
      </c>
      <c r="H448">
        <v>1</v>
      </c>
      <c r="I448">
        <v>799.5</v>
      </c>
      <c r="J448">
        <v>15</v>
      </c>
      <c r="K448" s="3">
        <v>15000</v>
      </c>
      <c r="L448" t="s">
        <v>49</v>
      </c>
      <c r="M448" t="s">
        <v>16</v>
      </c>
      <c r="N448">
        <v>679.57499999999993</v>
      </c>
      <c r="O448">
        <f t="shared" si="18"/>
        <v>799.5</v>
      </c>
      <c r="P448" t="str">
        <f t="shared" si="19"/>
        <v>01-2024</v>
      </c>
      <c r="Q448" t="str">
        <f t="shared" si="20"/>
        <v>Normal</v>
      </c>
    </row>
    <row r="449" spans="1:17" x14ac:dyDescent="0.3">
      <c r="A449" t="s">
        <v>484</v>
      </c>
      <c r="B449" s="5">
        <v>45306</v>
      </c>
      <c r="C449" t="s">
        <v>552</v>
      </c>
      <c r="D449" t="s">
        <v>552</v>
      </c>
      <c r="E449" t="s">
        <v>18</v>
      </c>
      <c r="F449" t="s">
        <v>552</v>
      </c>
      <c r="G449" t="s">
        <v>20</v>
      </c>
      <c r="H449">
        <v>1</v>
      </c>
      <c r="I449">
        <v>7830.7177904328155</v>
      </c>
      <c r="J449">
        <v>15</v>
      </c>
      <c r="K449" s="3">
        <v>0</v>
      </c>
      <c r="L449" t="s">
        <v>29</v>
      </c>
      <c r="M449" t="s">
        <v>552</v>
      </c>
      <c r="N449">
        <v>6656.1101218678932</v>
      </c>
      <c r="O449">
        <f t="shared" si="18"/>
        <v>7830.7177904328155</v>
      </c>
      <c r="P449" t="str">
        <f t="shared" si="19"/>
        <v>01-2024</v>
      </c>
      <c r="Q449" t="str">
        <f t="shared" si="20"/>
        <v>Normal</v>
      </c>
    </row>
    <row r="450" spans="1:17" x14ac:dyDescent="0.3">
      <c r="A450" t="s">
        <v>485</v>
      </c>
      <c r="B450" s="5">
        <v>45376</v>
      </c>
      <c r="C450" t="s">
        <v>12</v>
      </c>
      <c r="D450" t="s">
        <v>23</v>
      </c>
      <c r="E450" t="s">
        <v>36</v>
      </c>
      <c r="F450" t="s">
        <v>19</v>
      </c>
      <c r="G450" t="s">
        <v>60</v>
      </c>
      <c r="H450">
        <v>1</v>
      </c>
      <c r="I450">
        <v>7830.7177904328155</v>
      </c>
      <c r="J450">
        <v>50</v>
      </c>
      <c r="K450" s="3">
        <v>499.99</v>
      </c>
      <c r="L450" t="s">
        <v>39</v>
      </c>
      <c r="M450" t="s">
        <v>552</v>
      </c>
      <c r="N450">
        <v>3915.3588952164077</v>
      </c>
      <c r="O450">
        <f t="shared" ref="O450:O514" si="21">H450*I450</f>
        <v>7830.7177904328155</v>
      </c>
      <c r="P450" t="str">
        <f t="shared" ref="P450:P514" si="22">TEXT(B450,"MM-YYYY")</f>
        <v>03-2024</v>
      </c>
      <c r="Q450" t="str">
        <f t="shared" ref="Q450:Q514" si="23">IF(N450&gt;10000,"High","Normal")</f>
        <v>Normal</v>
      </c>
    </row>
    <row r="451" spans="1:17" x14ac:dyDescent="0.3">
      <c r="A451" t="s">
        <v>486</v>
      </c>
      <c r="B451" s="5">
        <v>45306</v>
      </c>
      <c r="C451" t="s">
        <v>552</v>
      </c>
      <c r="D451" t="s">
        <v>52</v>
      </c>
      <c r="E451" t="s">
        <v>36</v>
      </c>
      <c r="F451" t="s">
        <v>552</v>
      </c>
      <c r="G451" t="s">
        <v>552</v>
      </c>
      <c r="H451">
        <v>2</v>
      </c>
      <c r="I451">
        <v>25999</v>
      </c>
      <c r="J451">
        <v>0</v>
      </c>
      <c r="K451" s="3">
        <v>499.99</v>
      </c>
      <c r="L451" t="s">
        <v>552</v>
      </c>
      <c r="M451" t="s">
        <v>37</v>
      </c>
      <c r="N451">
        <v>51998</v>
      </c>
      <c r="O451">
        <f t="shared" si="21"/>
        <v>51998</v>
      </c>
      <c r="P451" t="str">
        <f t="shared" si="22"/>
        <v>01-2024</v>
      </c>
      <c r="Q451" t="str">
        <f t="shared" si="23"/>
        <v>High</v>
      </c>
    </row>
    <row r="452" spans="1:17" x14ac:dyDescent="0.3">
      <c r="A452" t="s">
        <v>406</v>
      </c>
      <c r="C452" t="s">
        <v>552</v>
      </c>
      <c r="D452" t="s">
        <v>44</v>
      </c>
      <c r="E452" t="s">
        <v>36</v>
      </c>
      <c r="F452" t="s">
        <v>19</v>
      </c>
      <c r="G452" t="s">
        <v>552</v>
      </c>
      <c r="H452">
        <v>2</v>
      </c>
      <c r="I452">
        <v>25999</v>
      </c>
      <c r="J452">
        <v>0</v>
      </c>
      <c r="K452" s="3">
        <v>0</v>
      </c>
      <c r="L452" t="s">
        <v>39</v>
      </c>
      <c r="M452" t="s">
        <v>30</v>
      </c>
      <c r="N452">
        <v>22098.3</v>
      </c>
      <c r="O452">
        <f t="shared" si="21"/>
        <v>51998</v>
      </c>
      <c r="P452" t="str">
        <f t="shared" si="22"/>
        <v>01-1900</v>
      </c>
      <c r="Q452" t="str">
        <f t="shared" si="23"/>
        <v>High</v>
      </c>
    </row>
    <row r="453" spans="1:17" x14ac:dyDescent="0.3">
      <c r="A453" t="s">
        <v>488</v>
      </c>
      <c r="B453" s="5">
        <v>45306</v>
      </c>
      <c r="C453" t="s">
        <v>552</v>
      </c>
      <c r="D453" t="s">
        <v>13</v>
      </c>
      <c r="E453" t="s">
        <v>36</v>
      </c>
      <c r="F453" t="s">
        <v>19</v>
      </c>
      <c r="G453" t="s">
        <v>60</v>
      </c>
      <c r="H453">
        <v>1</v>
      </c>
      <c r="I453">
        <v>499.99</v>
      </c>
      <c r="J453">
        <v>0</v>
      </c>
      <c r="K453" s="3">
        <v>15000</v>
      </c>
      <c r="L453" t="s">
        <v>29</v>
      </c>
      <c r="M453" t="s">
        <v>37</v>
      </c>
      <c r="N453">
        <v>499.99</v>
      </c>
      <c r="O453">
        <f t="shared" si="21"/>
        <v>499.99</v>
      </c>
      <c r="P453" t="str">
        <f t="shared" si="22"/>
        <v>01-2024</v>
      </c>
      <c r="Q453" t="str">
        <f t="shared" si="23"/>
        <v>Normal</v>
      </c>
    </row>
    <row r="454" spans="1:17" x14ac:dyDescent="0.3">
      <c r="A454" t="s">
        <v>407</v>
      </c>
      <c r="C454" t="s">
        <v>552</v>
      </c>
      <c r="D454" t="s">
        <v>552</v>
      </c>
      <c r="E454" t="s">
        <v>18</v>
      </c>
      <c r="F454" t="s">
        <v>25</v>
      </c>
      <c r="G454" t="s">
        <v>552</v>
      </c>
      <c r="H454">
        <v>4</v>
      </c>
      <c r="I454">
        <v>7830.7177904328155</v>
      </c>
      <c r="J454">
        <v>0</v>
      </c>
      <c r="K454" s="3">
        <v>0</v>
      </c>
      <c r="L454" t="s">
        <v>552</v>
      </c>
      <c r="M454" t="s">
        <v>30</v>
      </c>
      <c r="N454">
        <v>22098.3</v>
      </c>
      <c r="O454">
        <f t="shared" si="21"/>
        <v>31322.871161731262</v>
      </c>
      <c r="P454" t="str">
        <f t="shared" si="22"/>
        <v>01-1900</v>
      </c>
      <c r="Q454" t="str">
        <f t="shared" si="23"/>
        <v>High</v>
      </c>
    </row>
    <row r="455" spans="1:17" x14ac:dyDescent="0.3">
      <c r="A455" t="s">
        <v>409</v>
      </c>
      <c r="C455" t="s">
        <v>552</v>
      </c>
      <c r="D455" t="s">
        <v>23</v>
      </c>
      <c r="E455" t="s">
        <v>552</v>
      </c>
      <c r="F455" t="s">
        <v>14</v>
      </c>
      <c r="G455" t="s">
        <v>28</v>
      </c>
      <c r="H455">
        <v>3</v>
      </c>
      <c r="I455">
        <v>25999</v>
      </c>
      <c r="J455">
        <v>0</v>
      </c>
      <c r="K455" s="3">
        <v>0</v>
      </c>
      <c r="L455" t="s">
        <v>39</v>
      </c>
      <c r="M455" t="s">
        <v>552</v>
      </c>
      <c r="N455">
        <v>21142.938034168601</v>
      </c>
      <c r="O455">
        <f t="shared" si="21"/>
        <v>77997</v>
      </c>
      <c r="P455" t="str">
        <f t="shared" si="22"/>
        <v>01-1900</v>
      </c>
      <c r="Q455" t="str">
        <f t="shared" si="23"/>
        <v>High</v>
      </c>
    </row>
    <row r="456" spans="1:17" x14ac:dyDescent="0.3">
      <c r="A456" t="s">
        <v>410</v>
      </c>
      <c r="C456" t="s">
        <v>12</v>
      </c>
      <c r="D456" t="s">
        <v>44</v>
      </c>
      <c r="E456" t="s">
        <v>24</v>
      </c>
      <c r="F456" t="s">
        <v>19</v>
      </c>
      <c r="G456" t="s">
        <v>552</v>
      </c>
      <c r="H456">
        <v>3</v>
      </c>
      <c r="I456">
        <v>7830.7177904328155</v>
      </c>
      <c r="J456">
        <v>5</v>
      </c>
      <c r="K456" s="3">
        <v>30000</v>
      </c>
      <c r="L456" t="s">
        <v>552</v>
      </c>
      <c r="M456" t="s">
        <v>30</v>
      </c>
      <c r="N456">
        <v>21142.938034168601</v>
      </c>
      <c r="O456">
        <f t="shared" si="21"/>
        <v>23492.153371298446</v>
      </c>
      <c r="P456" t="str">
        <f t="shared" si="22"/>
        <v>01-1900</v>
      </c>
      <c r="Q456" t="str">
        <f t="shared" si="23"/>
        <v>High</v>
      </c>
    </row>
    <row r="457" spans="1:17" x14ac:dyDescent="0.3">
      <c r="A457" t="s">
        <v>492</v>
      </c>
      <c r="B457" s="5">
        <v>45376</v>
      </c>
      <c r="C457" t="s">
        <v>32</v>
      </c>
      <c r="D457" t="s">
        <v>44</v>
      </c>
      <c r="E457" t="s">
        <v>552</v>
      </c>
      <c r="F457" t="s">
        <v>19</v>
      </c>
      <c r="G457" t="s">
        <v>15</v>
      </c>
      <c r="H457">
        <v>1</v>
      </c>
      <c r="I457">
        <v>7830.7177904328155</v>
      </c>
      <c r="J457">
        <v>50</v>
      </c>
      <c r="K457" s="3">
        <v>0</v>
      </c>
      <c r="L457" t="s">
        <v>39</v>
      </c>
      <c r="M457" t="s">
        <v>37</v>
      </c>
      <c r="N457">
        <v>3915.3588952164077</v>
      </c>
      <c r="O457">
        <f t="shared" si="21"/>
        <v>7830.7177904328155</v>
      </c>
      <c r="P457" t="str">
        <f t="shared" si="22"/>
        <v>03-2024</v>
      </c>
      <c r="Q457" t="str">
        <f t="shared" si="23"/>
        <v>Normal</v>
      </c>
    </row>
    <row r="458" spans="1:17" x14ac:dyDescent="0.3">
      <c r="A458" t="s">
        <v>493</v>
      </c>
      <c r="B458" s="5">
        <v>45337</v>
      </c>
      <c r="C458" t="s">
        <v>32</v>
      </c>
      <c r="D458" t="s">
        <v>44</v>
      </c>
      <c r="E458" t="s">
        <v>18</v>
      </c>
      <c r="F458" t="s">
        <v>19</v>
      </c>
      <c r="G458" t="s">
        <v>20</v>
      </c>
      <c r="H458">
        <v>1</v>
      </c>
      <c r="I458">
        <v>7830.7177904328155</v>
      </c>
      <c r="J458">
        <v>5</v>
      </c>
      <c r="K458" s="3">
        <v>30000</v>
      </c>
      <c r="L458" t="s">
        <v>29</v>
      </c>
      <c r="M458" t="s">
        <v>30</v>
      </c>
      <c r="N458">
        <v>7439.1819009111741</v>
      </c>
      <c r="O458">
        <f t="shared" si="21"/>
        <v>7830.7177904328155</v>
      </c>
      <c r="P458" t="str">
        <f t="shared" si="22"/>
        <v>02-2024</v>
      </c>
      <c r="Q458" t="str">
        <f t="shared" si="23"/>
        <v>Normal</v>
      </c>
    </row>
    <row r="459" spans="1:17" x14ac:dyDescent="0.3">
      <c r="A459" t="s">
        <v>413</v>
      </c>
      <c r="C459" t="s">
        <v>27</v>
      </c>
      <c r="D459" t="s">
        <v>552</v>
      </c>
      <c r="E459" t="s">
        <v>18</v>
      </c>
      <c r="F459" t="s">
        <v>19</v>
      </c>
      <c r="G459" t="s">
        <v>28</v>
      </c>
      <c r="H459">
        <v>4</v>
      </c>
      <c r="I459">
        <v>25999</v>
      </c>
      <c r="J459">
        <v>0</v>
      </c>
      <c r="K459" s="3">
        <v>-500</v>
      </c>
      <c r="L459" t="s">
        <v>53</v>
      </c>
      <c r="M459" t="s">
        <v>552</v>
      </c>
      <c r="N459">
        <v>19968.330365603677</v>
      </c>
      <c r="O459">
        <f t="shared" si="21"/>
        <v>103996</v>
      </c>
      <c r="P459" t="str">
        <f t="shared" si="22"/>
        <v>01-1900</v>
      </c>
      <c r="Q459" t="str">
        <f t="shared" si="23"/>
        <v>High</v>
      </c>
    </row>
    <row r="460" spans="1:17" x14ac:dyDescent="0.3">
      <c r="A460" t="s">
        <v>495</v>
      </c>
      <c r="B460" s="5">
        <v>45376</v>
      </c>
      <c r="C460" t="s">
        <v>12</v>
      </c>
      <c r="D460" t="s">
        <v>44</v>
      </c>
      <c r="E460" t="s">
        <v>24</v>
      </c>
      <c r="F460" t="s">
        <v>14</v>
      </c>
      <c r="G460" t="s">
        <v>20</v>
      </c>
      <c r="H460">
        <v>1</v>
      </c>
      <c r="I460">
        <v>7830.7177904328155</v>
      </c>
      <c r="J460">
        <v>10</v>
      </c>
      <c r="K460" s="3">
        <v>499.99</v>
      </c>
      <c r="L460" t="s">
        <v>552</v>
      </c>
      <c r="M460" t="s">
        <v>16</v>
      </c>
      <c r="N460">
        <v>7047.6460113895337</v>
      </c>
      <c r="O460">
        <f t="shared" si="21"/>
        <v>7830.7177904328155</v>
      </c>
      <c r="P460" t="str">
        <f t="shared" si="22"/>
        <v>03-2024</v>
      </c>
      <c r="Q460" t="str">
        <f t="shared" si="23"/>
        <v>Normal</v>
      </c>
    </row>
    <row r="461" spans="1:17" x14ac:dyDescent="0.3">
      <c r="A461" t="s">
        <v>419</v>
      </c>
      <c r="C461" t="s">
        <v>32</v>
      </c>
      <c r="D461" t="s">
        <v>44</v>
      </c>
      <c r="E461" t="s">
        <v>552</v>
      </c>
      <c r="F461" t="s">
        <v>25</v>
      </c>
      <c r="G461" t="s">
        <v>552</v>
      </c>
      <c r="H461">
        <v>2</v>
      </c>
      <c r="I461">
        <v>12999</v>
      </c>
      <c r="J461">
        <v>0</v>
      </c>
      <c r="K461" s="3">
        <v>499.99</v>
      </c>
      <c r="L461" t="s">
        <v>39</v>
      </c>
      <c r="M461" t="s">
        <v>552</v>
      </c>
      <c r="N461">
        <v>19968.330365603677</v>
      </c>
      <c r="O461">
        <f t="shared" si="21"/>
        <v>25998</v>
      </c>
      <c r="P461" t="str">
        <f t="shared" si="22"/>
        <v>01-1900</v>
      </c>
      <c r="Q461" t="str">
        <f t="shared" si="23"/>
        <v>High</v>
      </c>
    </row>
    <row r="462" spans="1:17" x14ac:dyDescent="0.3">
      <c r="A462" t="s">
        <v>497</v>
      </c>
      <c r="C462" t="s">
        <v>27</v>
      </c>
      <c r="D462" t="s">
        <v>44</v>
      </c>
      <c r="E462" t="s">
        <v>36</v>
      </c>
      <c r="F462" t="s">
        <v>14</v>
      </c>
      <c r="G462" t="s">
        <v>47</v>
      </c>
      <c r="H462">
        <v>1</v>
      </c>
      <c r="I462">
        <v>7830.7177904328155</v>
      </c>
      <c r="J462">
        <v>10</v>
      </c>
      <c r="K462" s="3">
        <v>30000</v>
      </c>
      <c r="L462" t="s">
        <v>53</v>
      </c>
      <c r="M462" t="s">
        <v>37</v>
      </c>
      <c r="N462">
        <v>7047.6460113895337</v>
      </c>
      <c r="O462">
        <f t="shared" si="21"/>
        <v>7830.7177904328155</v>
      </c>
      <c r="P462" t="str">
        <f t="shared" si="22"/>
        <v>01-1900</v>
      </c>
      <c r="Q462" t="str">
        <f t="shared" si="23"/>
        <v>Normal</v>
      </c>
    </row>
    <row r="463" spans="1:17" x14ac:dyDescent="0.3">
      <c r="A463" t="s">
        <v>420</v>
      </c>
      <c r="C463" t="s">
        <v>22</v>
      </c>
      <c r="D463" t="s">
        <v>552</v>
      </c>
      <c r="E463" t="s">
        <v>552</v>
      </c>
      <c r="F463" t="s">
        <v>552</v>
      </c>
      <c r="G463" t="s">
        <v>20</v>
      </c>
      <c r="H463">
        <v>2</v>
      </c>
      <c r="I463">
        <v>25999</v>
      </c>
      <c r="J463">
        <v>50</v>
      </c>
      <c r="K463" s="3">
        <v>0</v>
      </c>
      <c r="L463" t="s">
        <v>49</v>
      </c>
      <c r="M463" t="s">
        <v>30</v>
      </c>
      <c r="N463">
        <v>19498.5</v>
      </c>
      <c r="O463">
        <f t="shared" si="21"/>
        <v>51998</v>
      </c>
      <c r="P463" t="str">
        <f t="shared" si="22"/>
        <v>01-1900</v>
      </c>
      <c r="Q463" t="str">
        <f t="shared" si="23"/>
        <v>High</v>
      </c>
    </row>
    <row r="464" spans="1:17" x14ac:dyDescent="0.3">
      <c r="A464" t="s">
        <v>422</v>
      </c>
      <c r="C464" t="s">
        <v>27</v>
      </c>
      <c r="D464" t="s">
        <v>44</v>
      </c>
      <c r="E464" t="s">
        <v>18</v>
      </c>
      <c r="F464" t="s">
        <v>25</v>
      </c>
      <c r="G464" t="s">
        <v>552</v>
      </c>
      <c r="H464">
        <v>3</v>
      </c>
      <c r="I464">
        <v>7830.7177904328155</v>
      </c>
      <c r="J464">
        <v>0</v>
      </c>
      <c r="K464" s="3">
        <v>15000</v>
      </c>
      <c r="L464" t="s">
        <v>39</v>
      </c>
      <c r="M464" t="s">
        <v>33</v>
      </c>
      <c r="N464">
        <v>15661.435580865631</v>
      </c>
      <c r="O464">
        <f t="shared" si="21"/>
        <v>23492.153371298446</v>
      </c>
      <c r="P464" t="str">
        <f t="shared" si="22"/>
        <v>01-1900</v>
      </c>
      <c r="Q464" t="str">
        <f t="shared" si="23"/>
        <v>High</v>
      </c>
    </row>
    <row r="465" spans="1:17" x14ac:dyDescent="0.3">
      <c r="A465" t="s">
        <v>500</v>
      </c>
      <c r="B465" s="5">
        <v>45376</v>
      </c>
      <c r="C465" t="s">
        <v>12</v>
      </c>
      <c r="D465" t="s">
        <v>13</v>
      </c>
      <c r="E465" t="s">
        <v>36</v>
      </c>
      <c r="F465" t="s">
        <v>14</v>
      </c>
      <c r="G465" t="s">
        <v>28</v>
      </c>
      <c r="H465">
        <v>1</v>
      </c>
      <c r="I465">
        <v>799.5</v>
      </c>
      <c r="J465">
        <v>50</v>
      </c>
      <c r="K465" s="3">
        <v>-500</v>
      </c>
      <c r="L465" t="s">
        <v>39</v>
      </c>
      <c r="M465" t="s">
        <v>552</v>
      </c>
      <c r="N465">
        <v>399.75</v>
      </c>
      <c r="O465">
        <f t="shared" si="21"/>
        <v>799.5</v>
      </c>
      <c r="P465" t="str">
        <f t="shared" si="22"/>
        <v>03-2024</v>
      </c>
      <c r="Q465" t="str">
        <f t="shared" si="23"/>
        <v>Normal</v>
      </c>
    </row>
    <row r="466" spans="1:17" x14ac:dyDescent="0.3">
      <c r="A466" t="s">
        <v>425</v>
      </c>
      <c r="C466" t="s">
        <v>27</v>
      </c>
      <c r="D466" t="s">
        <v>44</v>
      </c>
      <c r="E466" t="s">
        <v>36</v>
      </c>
      <c r="F466" t="s">
        <v>552</v>
      </c>
      <c r="G466" t="s">
        <v>552</v>
      </c>
      <c r="H466">
        <v>1</v>
      </c>
      <c r="I466">
        <v>12999</v>
      </c>
      <c r="J466">
        <v>5</v>
      </c>
      <c r="K466" s="3">
        <v>499.99</v>
      </c>
      <c r="L466" t="s">
        <v>29</v>
      </c>
      <c r="M466" t="s">
        <v>16</v>
      </c>
      <c r="N466">
        <v>15661.435580865631</v>
      </c>
      <c r="O466">
        <f t="shared" si="21"/>
        <v>12999</v>
      </c>
      <c r="P466" t="str">
        <f t="shared" si="22"/>
        <v>01-1900</v>
      </c>
      <c r="Q466" t="str">
        <f t="shared" si="23"/>
        <v>High</v>
      </c>
    </row>
    <row r="467" spans="1:17" x14ac:dyDescent="0.3">
      <c r="A467" t="s">
        <v>502</v>
      </c>
      <c r="C467" t="s">
        <v>32</v>
      </c>
      <c r="D467" t="s">
        <v>44</v>
      </c>
      <c r="E467" t="s">
        <v>36</v>
      </c>
      <c r="F467" t="s">
        <v>552</v>
      </c>
      <c r="G467" t="s">
        <v>552</v>
      </c>
      <c r="H467">
        <v>1</v>
      </c>
      <c r="I467">
        <v>499.99</v>
      </c>
      <c r="J467">
        <v>15</v>
      </c>
      <c r="K467" s="3">
        <v>499.99</v>
      </c>
      <c r="L467" t="s">
        <v>39</v>
      </c>
      <c r="M467" t="s">
        <v>30</v>
      </c>
      <c r="N467">
        <v>424.99149999999997</v>
      </c>
      <c r="O467">
        <f t="shared" si="21"/>
        <v>499.99</v>
      </c>
      <c r="P467" t="str">
        <f t="shared" si="22"/>
        <v>01-1900</v>
      </c>
      <c r="Q467" t="str">
        <f t="shared" si="23"/>
        <v>Normal</v>
      </c>
    </row>
    <row r="468" spans="1:17" x14ac:dyDescent="0.3">
      <c r="A468" t="s">
        <v>503</v>
      </c>
      <c r="B468" s="5">
        <v>45376</v>
      </c>
      <c r="C468" t="s">
        <v>22</v>
      </c>
      <c r="D468" t="s">
        <v>23</v>
      </c>
      <c r="E468" t="s">
        <v>552</v>
      </c>
      <c r="F468" t="s">
        <v>25</v>
      </c>
      <c r="G468" t="s">
        <v>60</v>
      </c>
      <c r="H468">
        <v>1</v>
      </c>
      <c r="I468">
        <v>499.99</v>
      </c>
      <c r="J468">
        <v>15</v>
      </c>
      <c r="K468" s="3">
        <v>-500</v>
      </c>
      <c r="L468" t="s">
        <v>552</v>
      </c>
      <c r="M468" t="s">
        <v>30</v>
      </c>
      <c r="N468">
        <v>424.99149999999997</v>
      </c>
      <c r="O468">
        <f t="shared" si="21"/>
        <v>499.99</v>
      </c>
      <c r="P468" t="str">
        <f t="shared" si="22"/>
        <v>03-2024</v>
      </c>
      <c r="Q468" t="str">
        <f t="shared" si="23"/>
        <v>Normal</v>
      </c>
    </row>
    <row r="469" spans="1:17" x14ac:dyDescent="0.3">
      <c r="A469" t="s">
        <v>504</v>
      </c>
      <c r="B469" s="5">
        <v>45306</v>
      </c>
      <c r="C469" t="s">
        <v>27</v>
      </c>
      <c r="D469" t="s">
        <v>13</v>
      </c>
      <c r="E469" t="s">
        <v>36</v>
      </c>
      <c r="F469" t="s">
        <v>19</v>
      </c>
      <c r="G469" t="s">
        <v>47</v>
      </c>
      <c r="H469">
        <v>1</v>
      </c>
      <c r="I469">
        <v>499.99</v>
      </c>
      <c r="J469">
        <v>5</v>
      </c>
      <c r="K469" s="3">
        <v>15000</v>
      </c>
      <c r="L469" t="s">
        <v>29</v>
      </c>
      <c r="M469" t="s">
        <v>552</v>
      </c>
      <c r="N469">
        <v>474.9905</v>
      </c>
      <c r="O469">
        <f t="shared" si="21"/>
        <v>499.99</v>
      </c>
      <c r="P469" t="str">
        <f t="shared" si="22"/>
        <v>01-2024</v>
      </c>
      <c r="Q469" t="str">
        <f t="shared" si="23"/>
        <v>Normal</v>
      </c>
    </row>
    <row r="470" spans="1:17" x14ac:dyDescent="0.3">
      <c r="A470" t="s">
        <v>430</v>
      </c>
      <c r="C470" t="s">
        <v>12</v>
      </c>
      <c r="D470" t="s">
        <v>23</v>
      </c>
      <c r="E470" t="s">
        <v>18</v>
      </c>
      <c r="F470" t="s">
        <v>19</v>
      </c>
      <c r="G470" t="s">
        <v>60</v>
      </c>
      <c r="H470">
        <v>2</v>
      </c>
      <c r="I470">
        <v>25999</v>
      </c>
      <c r="J470">
        <v>0</v>
      </c>
      <c r="K470" s="3">
        <v>30000</v>
      </c>
      <c r="L470" t="s">
        <v>39</v>
      </c>
      <c r="M470" t="s">
        <v>552</v>
      </c>
      <c r="N470">
        <v>15661.435580865631</v>
      </c>
      <c r="O470">
        <f t="shared" si="21"/>
        <v>51998</v>
      </c>
      <c r="P470" t="str">
        <f t="shared" si="22"/>
        <v>01-1900</v>
      </c>
      <c r="Q470" t="str">
        <f t="shared" si="23"/>
        <v>High</v>
      </c>
    </row>
    <row r="471" spans="1:17" x14ac:dyDescent="0.3">
      <c r="A471" t="s">
        <v>441</v>
      </c>
      <c r="C471" t="s">
        <v>22</v>
      </c>
      <c r="D471" t="s">
        <v>13</v>
      </c>
      <c r="E471" t="s">
        <v>552</v>
      </c>
      <c r="F471" t="s">
        <v>552</v>
      </c>
      <c r="G471" t="s">
        <v>15</v>
      </c>
      <c r="H471">
        <v>4</v>
      </c>
      <c r="I471">
        <v>7830.7177904328155</v>
      </c>
      <c r="J471">
        <v>50</v>
      </c>
      <c r="K471" s="3">
        <v>-500</v>
      </c>
      <c r="L471" t="s">
        <v>53</v>
      </c>
      <c r="M471" t="s">
        <v>33</v>
      </c>
      <c r="N471">
        <v>15661.435580865631</v>
      </c>
      <c r="O471">
        <f t="shared" si="21"/>
        <v>31322.871161731262</v>
      </c>
      <c r="P471" t="str">
        <f t="shared" si="22"/>
        <v>01-1900</v>
      </c>
      <c r="Q471" t="str">
        <f t="shared" si="23"/>
        <v>High</v>
      </c>
    </row>
    <row r="472" spans="1:17" x14ac:dyDescent="0.3">
      <c r="A472" t="s">
        <v>442</v>
      </c>
      <c r="C472" t="s">
        <v>552</v>
      </c>
      <c r="D472" t="s">
        <v>13</v>
      </c>
      <c r="E472" t="s">
        <v>18</v>
      </c>
      <c r="F472" t="s">
        <v>552</v>
      </c>
      <c r="G472" t="s">
        <v>20</v>
      </c>
      <c r="H472">
        <v>2</v>
      </c>
      <c r="I472">
        <v>12999</v>
      </c>
      <c r="J472">
        <v>0</v>
      </c>
      <c r="K472" s="3">
        <v>-500</v>
      </c>
      <c r="L472" t="s">
        <v>552</v>
      </c>
      <c r="M472" t="s">
        <v>33</v>
      </c>
      <c r="N472">
        <v>15661.435580865631</v>
      </c>
      <c r="O472">
        <f t="shared" si="21"/>
        <v>25998</v>
      </c>
      <c r="P472" t="str">
        <f t="shared" si="22"/>
        <v>01-1900</v>
      </c>
      <c r="Q472" t="str">
        <f t="shared" si="23"/>
        <v>High</v>
      </c>
    </row>
    <row r="473" spans="1:17" x14ac:dyDescent="0.3">
      <c r="A473" t="s">
        <v>443</v>
      </c>
      <c r="C473" t="s">
        <v>12</v>
      </c>
      <c r="D473" t="s">
        <v>23</v>
      </c>
      <c r="E473" t="s">
        <v>36</v>
      </c>
      <c r="F473" t="s">
        <v>25</v>
      </c>
      <c r="G473" t="s">
        <v>28</v>
      </c>
      <c r="H473">
        <v>2</v>
      </c>
      <c r="I473">
        <v>12999</v>
      </c>
      <c r="J473">
        <v>15</v>
      </c>
      <c r="K473" s="3">
        <v>15000</v>
      </c>
      <c r="L473" t="s">
        <v>552</v>
      </c>
      <c r="M473" t="s">
        <v>552</v>
      </c>
      <c r="N473">
        <v>15661.435580865631</v>
      </c>
      <c r="O473">
        <f t="shared" si="21"/>
        <v>25998</v>
      </c>
      <c r="P473" t="str">
        <f t="shared" si="22"/>
        <v>01-1900</v>
      </c>
      <c r="Q473" t="str">
        <f t="shared" si="23"/>
        <v>High</v>
      </c>
    </row>
    <row r="474" spans="1:17" x14ac:dyDescent="0.3">
      <c r="A474" t="s">
        <v>445</v>
      </c>
      <c r="C474" t="s">
        <v>27</v>
      </c>
      <c r="D474" t="s">
        <v>23</v>
      </c>
      <c r="E474" t="s">
        <v>36</v>
      </c>
      <c r="F474" t="s">
        <v>552</v>
      </c>
      <c r="G474" t="s">
        <v>15</v>
      </c>
      <c r="H474">
        <v>1</v>
      </c>
      <c r="I474">
        <v>25999</v>
      </c>
      <c r="J474">
        <v>50</v>
      </c>
      <c r="K474" s="3">
        <v>0</v>
      </c>
      <c r="L474" t="s">
        <v>39</v>
      </c>
      <c r="M474" t="s">
        <v>16</v>
      </c>
      <c r="N474">
        <v>15661.435580865631</v>
      </c>
      <c r="O474">
        <f t="shared" si="21"/>
        <v>25999</v>
      </c>
      <c r="P474" t="str">
        <f t="shared" si="22"/>
        <v>01-1900</v>
      </c>
      <c r="Q474" t="str">
        <f t="shared" si="23"/>
        <v>High</v>
      </c>
    </row>
    <row r="475" spans="1:17" x14ac:dyDescent="0.3">
      <c r="A475" t="s">
        <v>454</v>
      </c>
      <c r="C475" t="s">
        <v>32</v>
      </c>
      <c r="D475" t="s">
        <v>23</v>
      </c>
      <c r="E475" t="s">
        <v>24</v>
      </c>
      <c r="F475" t="s">
        <v>19</v>
      </c>
      <c r="G475" t="s">
        <v>28</v>
      </c>
      <c r="H475">
        <v>1</v>
      </c>
      <c r="I475">
        <v>12999</v>
      </c>
      <c r="J475">
        <v>10</v>
      </c>
      <c r="K475" s="3">
        <v>15000</v>
      </c>
      <c r="L475" t="s">
        <v>49</v>
      </c>
      <c r="M475" t="s">
        <v>16</v>
      </c>
      <c r="N475">
        <v>14878.363801822348</v>
      </c>
      <c r="O475">
        <f t="shared" si="21"/>
        <v>12999</v>
      </c>
      <c r="P475" t="str">
        <f t="shared" si="22"/>
        <v>01-1900</v>
      </c>
      <c r="Q475" t="str">
        <f t="shared" si="23"/>
        <v>High</v>
      </c>
    </row>
    <row r="476" spans="1:17" x14ac:dyDescent="0.3">
      <c r="A476" t="s">
        <v>455</v>
      </c>
      <c r="C476" t="s">
        <v>552</v>
      </c>
      <c r="D476" t="s">
        <v>44</v>
      </c>
      <c r="E476" t="s">
        <v>18</v>
      </c>
      <c r="F476" t="s">
        <v>552</v>
      </c>
      <c r="G476" t="s">
        <v>552</v>
      </c>
      <c r="H476">
        <v>1</v>
      </c>
      <c r="I476">
        <v>12999</v>
      </c>
      <c r="J476">
        <v>15</v>
      </c>
      <c r="K476" s="3">
        <v>30000</v>
      </c>
      <c r="L476" t="s">
        <v>49</v>
      </c>
      <c r="M476" t="s">
        <v>33</v>
      </c>
      <c r="N476">
        <v>14878.363801822348</v>
      </c>
      <c r="O476">
        <f t="shared" si="21"/>
        <v>12999</v>
      </c>
      <c r="P476" t="str">
        <f t="shared" si="22"/>
        <v>01-1900</v>
      </c>
      <c r="Q476" t="str">
        <f t="shared" si="23"/>
        <v>High</v>
      </c>
    </row>
    <row r="477" spans="1:17" x14ac:dyDescent="0.3">
      <c r="A477" t="s">
        <v>512</v>
      </c>
      <c r="B477" s="5">
        <v>45376</v>
      </c>
      <c r="C477" t="s">
        <v>22</v>
      </c>
      <c r="D477" t="s">
        <v>52</v>
      </c>
      <c r="E477" t="s">
        <v>552</v>
      </c>
      <c r="F477" t="s">
        <v>552</v>
      </c>
      <c r="G477" t="s">
        <v>47</v>
      </c>
      <c r="H477">
        <v>4</v>
      </c>
      <c r="I477">
        <v>799.5</v>
      </c>
      <c r="J477">
        <v>0</v>
      </c>
      <c r="K477" s="3">
        <v>0</v>
      </c>
      <c r="L477" t="s">
        <v>53</v>
      </c>
      <c r="M477" t="s">
        <v>16</v>
      </c>
      <c r="N477">
        <v>3198</v>
      </c>
      <c r="O477">
        <f t="shared" si="21"/>
        <v>3198</v>
      </c>
      <c r="P477" t="str">
        <f t="shared" si="22"/>
        <v>03-2024</v>
      </c>
      <c r="Q477" t="str">
        <f t="shared" si="23"/>
        <v>Normal</v>
      </c>
    </row>
    <row r="478" spans="1:17" x14ac:dyDescent="0.3">
      <c r="A478" t="s">
        <v>513</v>
      </c>
      <c r="C478" t="s">
        <v>552</v>
      </c>
      <c r="D478" t="s">
        <v>23</v>
      </c>
      <c r="E478" t="s">
        <v>18</v>
      </c>
      <c r="F478" t="s">
        <v>14</v>
      </c>
      <c r="G478" t="s">
        <v>20</v>
      </c>
      <c r="H478">
        <v>1</v>
      </c>
      <c r="I478">
        <v>499.99</v>
      </c>
      <c r="J478">
        <v>5</v>
      </c>
      <c r="K478" s="3">
        <v>15000</v>
      </c>
      <c r="L478" t="s">
        <v>53</v>
      </c>
      <c r="M478" t="s">
        <v>16</v>
      </c>
      <c r="N478">
        <v>474.9905</v>
      </c>
      <c r="O478">
        <f t="shared" si="21"/>
        <v>499.99</v>
      </c>
      <c r="P478" t="str">
        <f t="shared" si="22"/>
        <v>01-1900</v>
      </c>
      <c r="Q478" t="str">
        <f t="shared" si="23"/>
        <v>Normal</v>
      </c>
    </row>
    <row r="479" spans="1:17" x14ac:dyDescent="0.3">
      <c r="A479" t="s">
        <v>514</v>
      </c>
      <c r="C479" t="s">
        <v>552</v>
      </c>
      <c r="D479" t="s">
        <v>13</v>
      </c>
      <c r="E479" t="s">
        <v>552</v>
      </c>
      <c r="F479" t="s">
        <v>25</v>
      </c>
      <c r="G479" t="s">
        <v>28</v>
      </c>
      <c r="H479">
        <v>1</v>
      </c>
      <c r="I479">
        <v>7830.7177904328155</v>
      </c>
      <c r="J479">
        <v>0</v>
      </c>
      <c r="K479" s="3">
        <v>0</v>
      </c>
      <c r="L479" t="s">
        <v>53</v>
      </c>
      <c r="M479" t="s">
        <v>16</v>
      </c>
      <c r="N479">
        <v>7830.7177904328155</v>
      </c>
      <c r="O479">
        <f t="shared" si="21"/>
        <v>7830.7177904328155</v>
      </c>
      <c r="P479" t="str">
        <f t="shared" si="22"/>
        <v>01-1900</v>
      </c>
      <c r="Q479" t="str">
        <f t="shared" si="23"/>
        <v>Normal</v>
      </c>
    </row>
    <row r="480" spans="1:17" x14ac:dyDescent="0.3">
      <c r="A480" t="s">
        <v>458</v>
      </c>
      <c r="C480" t="s">
        <v>27</v>
      </c>
      <c r="D480" t="s">
        <v>52</v>
      </c>
      <c r="E480" t="s">
        <v>18</v>
      </c>
      <c r="F480" t="s">
        <v>25</v>
      </c>
      <c r="G480" t="s">
        <v>28</v>
      </c>
      <c r="H480">
        <v>3</v>
      </c>
      <c r="I480">
        <v>7830.7177904328155</v>
      </c>
      <c r="J480">
        <v>15</v>
      </c>
      <c r="K480" s="3">
        <v>0</v>
      </c>
      <c r="L480" t="s">
        <v>552</v>
      </c>
      <c r="M480" t="s">
        <v>552</v>
      </c>
      <c r="N480">
        <v>13312.220243735786</v>
      </c>
      <c r="O480">
        <f t="shared" si="21"/>
        <v>23492.153371298446</v>
      </c>
      <c r="P480" t="str">
        <f t="shared" si="22"/>
        <v>01-1900</v>
      </c>
      <c r="Q480" t="str">
        <f t="shared" si="23"/>
        <v>High</v>
      </c>
    </row>
    <row r="481" spans="1:17" x14ac:dyDescent="0.3">
      <c r="A481" t="s">
        <v>516</v>
      </c>
      <c r="C481" t="s">
        <v>12</v>
      </c>
      <c r="D481" t="s">
        <v>44</v>
      </c>
      <c r="E481" t="s">
        <v>18</v>
      </c>
      <c r="F481" t="s">
        <v>14</v>
      </c>
      <c r="G481" t="s">
        <v>47</v>
      </c>
      <c r="H481">
        <v>1</v>
      </c>
      <c r="I481">
        <v>12999</v>
      </c>
      <c r="J481">
        <v>50</v>
      </c>
      <c r="K481" s="3">
        <v>15000</v>
      </c>
      <c r="L481" t="s">
        <v>53</v>
      </c>
      <c r="M481" t="s">
        <v>552</v>
      </c>
      <c r="N481">
        <v>6499.5</v>
      </c>
      <c r="O481">
        <f t="shared" si="21"/>
        <v>12999</v>
      </c>
      <c r="P481" t="str">
        <f t="shared" si="22"/>
        <v>01-1900</v>
      </c>
      <c r="Q481" t="str">
        <f t="shared" si="23"/>
        <v>Normal</v>
      </c>
    </row>
    <row r="482" spans="1:17" x14ac:dyDescent="0.3">
      <c r="A482" t="s">
        <v>517</v>
      </c>
      <c r="B482" s="5">
        <v>45306</v>
      </c>
      <c r="C482" t="s">
        <v>552</v>
      </c>
      <c r="D482" t="s">
        <v>44</v>
      </c>
      <c r="E482" t="s">
        <v>36</v>
      </c>
      <c r="F482" t="s">
        <v>19</v>
      </c>
      <c r="G482" t="s">
        <v>20</v>
      </c>
      <c r="H482">
        <v>1</v>
      </c>
      <c r="I482">
        <v>499.99</v>
      </c>
      <c r="J482">
        <v>50</v>
      </c>
      <c r="K482" s="3">
        <v>-500</v>
      </c>
      <c r="L482" t="s">
        <v>39</v>
      </c>
      <c r="M482" t="s">
        <v>33</v>
      </c>
      <c r="N482">
        <v>249.995</v>
      </c>
      <c r="O482">
        <f t="shared" si="21"/>
        <v>499.99</v>
      </c>
      <c r="P482" t="str">
        <f t="shared" si="22"/>
        <v>01-2024</v>
      </c>
      <c r="Q482" t="str">
        <f t="shared" si="23"/>
        <v>Normal</v>
      </c>
    </row>
    <row r="483" spans="1:17" x14ac:dyDescent="0.3">
      <c r="A483" t="s">
        <v>518</v>
      </c>
      <c r="B483" s="5">
        <v>45376</v>
      </c>
      <c r="C483" t="s">
        <v>12</v>
      </c>
      <c r="D483" t="s">
        <v>13</v>
      </c>
      <c r="E483" t="s">
        <v>552</v>
      </c>
      <c r="F483" t="s">
        <v>14</v>
      </c>
      <c r="G483" t="s">
        <v>60</v>
      </c>
      <c r="H483">
        <v>1</v>
      </c>
      <c r="I483">
        <v>799.5</v>
      </c>
      <c r="J483">
        <v>0</v>
      </c>
      <c r="K483" s="3">
        <v>15000</v>
      </c>
      <c r="L483" t="s">
        <v>29</v>
      </c>
      <c r="M483" t="s">
        <v>30</v>
      </c>
      <c r="N483">
        <v>799.5</v>
      </c>
      <c r="O483">
        <f t="shared" si="21"/>
        <v>799.5</v>
      </c>
      <c r="P483" t="str">
        <f t="shared" si="22"/>
        <v>03-2024</v>
      </c>
      <c r="Q483" t="str">
        <f t="shared" si="23"/>
        <v>Normal</v>
      </c>
    </row>
    <row r="484" spans="1:17" x14ac:dyDescent="0.3">
      <c r="A484" t="s">
        <v>476</v>
      </c>
      <c r="C484" t="s">
        <v>552</v>
      </c>
      <c r="D484" t="s">
        <v>552</v>
      </c>
      <c r="E484" t="s">
        <v>24</v>
      </c>
      <c r="F484" t="s">
        <v>19</v>
      </c>
      <c r="G484" t="s">
        <v>47</v>
      </c>
      <c r="H484">
        <v>4</v>
      </c>
      <c r="I484">
        <v>25999</v>
      </c>
      <c r="J484">
        <v>10</v>
      </c>
      <c r="K484" s="3">
        <v>499.99</v>
      </c>
      <c r="L484" t="s">
        <v>49</v>
      </c>
      <c r="M484" t="s">
        <v>552</v>
      </c>
      <c r="N484">
        <v>12999.5</v>
      </c>
      <c r="O484">
        <f t="shared" si="21"/>
        <v>103996</v>
      </c>
      <c r="P484" t="str">
        <f t="shared" si="22"/>
        <v>01-1900</v>
      </c>
      <c r="Q484" t="str">
        <f t="shared" si="23"/>
        <v>High</v>
      </c>
    </row>
    <row r="485" spans="1:17" x14ac:dyDescent="0.3">
      <c r="A485" t="s">
        <v>482</v>
      </c>
      <c r="C485" t="s">
        <v>27</v>
      </c>
      <c r="D485" t="s">
        <v>44</v>
      </c>
      <c r="E485" t="s">
        <v>18</v>
      </c>
      <c r="F485" t="s">
        <v>552</v>
      </c>
      <c r="G485" t="s">
        <v>60</v>
      </c>
      <c r="H485">
        <v>2</v>
      </c>
      <c r="I485">
        <v>7830.7177904328155</v>
      </c>
      <c r="J485">
        <v>15</v>
      </c>
      <c r="K485" s="3">
        <v>0</v>
      </c>
      <c r="L485" t="s">
        <v>49</v>
      </c>
      <c r="M485" t="s">
        <v>552</v>
      </c>
      <c r="N485">
        <v>12999</v>
      </c>
      <c r="O485">
        <f t="shared" si="21"/>
        <v>15661.435580865631</v>
      </c>
      <c r="P485" t="str">
        <f t="shared" si="22"/>
        <v>01-1900</v>
      </c>
      <c r="Q485" t="str">
        <f t="shared" si="23"/>
        <v>High</v>
      </c>
    </row>
    <row r="486" spans="1:17" x14ac:dyDescent="0.3">
      <c r="A486" t="s">
        <v>521</v>
      </c>
      <c r="C486" t="s">
        <v>12</v>
      </c>
      <c r="D486" t="s">
        <v>23</v>
      </c>
      <c r="E486" t="s">
        <v>552</v>
      </c>
      <c r="F486" t="s">
        <v>14</v>
      </c>
      <c r="G486" t="s">
        <v>28</v>
      </c>
      <c r="H486">
        <v>1</v>
      </c>
      <c r="I486">
        <v>799.5</v>
      </c>
      <c r="J486">
        <v>10</v>
      </c>
      <c r="K486" s="3">
        <v>30000</v>
      </c>
      <c r="L486" t="s">
        <v>39</v>
      </c>
      <c r="M486" t="s">
        <v>552</v>
      </c>
      <c r="N486">
        <v>719.55000000000007</v>
      </c>
      <c r="O486">
        <f t="shared" si="21"/>
        <v>799.5</v>
      </c>
      <c r="P486" t="str">
        <f t="shared" si="22"/>
        <v>01-1900</v>
      </c>
      <c r="Q486" t="str">
        <f t="shared" si="23"/>
        <v>Normal</v>
      </c>
    </row>
    <row r="487" spans="1:17" x14ac:dyDescent="0.3">
      <c r="A487" t="s">
        <v>522</v>
      </c>
      <c r="B487" s="5">
        <v>45306</v>
      </c>
      <c r="C487" t="s">
        <v>552</v>
      </c>
      <c r="D487" t="s">
        <v>44</v>
      </c>
      <c r="E487" t="s">
        <v>552</v>
      </c>
      <c r="F487" t="s">
        <v>552</v>
      </c>
      <c r="G487" t="s">
        <v>20</v>
      </c>
      <c r="H487">
        <v>4</v>
      </c>
      <c r="I487">
        <v>799.5</v>
      </c>
      <c r="J487">
        <v>15</v>
      </c>
      <c r="K487" s="3">
        <v>-500</v>
      </c>
      <c r="L487" t="s">
        <v>39</v>
      </c>
      <c r="M487" t="s">
        <v>33</v>
      </c>
      <c r="N487">
        <v>2718.2999999999997</v>
      </c>
      <c r="O487">
        <f t="shared" si="21"/>
        <v>3198</v>
      </c>
      <c r="P487" t="str">
        <f t="shared" si="22"/>
        <v>01-2024</v>
      </c>
      <c r="Q487" t="str">
        <f t="shared" si="23"/>
        <v>Normal</v>
      </c>
    </row>
    <row r="488" spans="1:17" x14ac:dyDescent="0.3">
      <c r="A488" t="s">
        <v>523</v>
      </c>
      <c r="B488" s="5">
        <v>45376</v>
      </c>
      <c r="C488" t="s">
        <v>12</v>
      </c>
      <c r="D488" t="s">
        <v>13</v>
      </c>
      <c r="E488" t="s">
        <v>552</v>
      </c>
      <c r="F488" t="s">
        <v>19</v>
      </c>
      <c r="G488" t="s">
        <v>552</v>
      </c>
      <c r="H488">
        <v>2</v>
      </c>
      <c r="I488">
        <v>499.99</v>
      </c>
      <c r="J488">
        <v>0</v>
      </c>
      <c r="K488" s="3">
        <v>15000</v>
      </c>
      <c r="L488" t="s">
        <v>552</v>
      </c>
      <c r="M488" t="s">
        <v>552</v>
      </c>
      <c r="N488">
        <v>999.98</v>
      </c>
      <c r="O488">
        <f t="shared" si="21"/>
        <v>999.98</v>
      </c>
      <c r="P488" t="str">
        <f t="shared" si="22"/>
        <v>03-2024</v>
      </c>
      <c r="Q488" t="str">
        <f t="shared" si="23"/>
        <v>Normal</v>
      </c>
    </row>
    <row r="489" spans="1:17" x14ac:dyDescent="0.3">
      <c r="A489" t="s">
        <v>524</v>
      </c>
      <c r="C489" t="s">
        <v>552</v>
      </c>
      <c r="D489" t="s">
        <v>44</v>
      </c>
      <c r="E489" t="s">
        <v>552</v>
      </c>
      <c r="F489" t="s">
        <v>25</v>
      </c>
      <c r="G489" t="s">
        <v>552</v>
      </c>
      <c r="H489">
        <v>4</v>
      </c>
      <c r="I489">
        <v>12999</v>
      </c>
      <c r="J489">
        <v>10</v>
      </c>
      <c r="K489" s="3">
        <v>499.99</v>
      </c>
      <c r="L489" t="s">
        <v>39</v>
      </c>
      <c r="M489" t="s">
        <v>37</v>
      </c>
      <c r="N489">
        <v>46796.4</v>
      </c>
      <c r="O489">
        <f t="shared" si="21"/>
        <v>51996</v>
      </c>
      <c r="P489" t="str">
        <f t="shared" si="22"/>
        <v>01-1900</v>
      </c>
      <c r="Q489" t="str">
        <f t="shared" si="23"/>
        <v>High</v>
      </c>
    </row>
    <row r="490" spans="1:17" x14ac:dyDescent="0.3">
      <c r="A490" t="s">
        <v>491</v>
      </c>
      <c r="C490" t="s">
        <v>552</v>
      </c>
      <c r="D490" t="s">
        <v>13</v>
      </c>
      <c r="E490" t="s">
        <v>36</v>
      </c>
      <c r="F490" t="s">
        <v>19</v>
      </c>
      <c r="G490" t="s">
        <v>28</v>
      </c>
      <c r="H490">
        <v>3</v>
      </c>
      <c r="I490">
        <v>25999</v>
      </c>
      <c r="J490">
        <v>50</v>
      </c>
      <c r="K490" s="3">
        <v>15000</v>
      </c>
      <c r="L490" t="s">
        <v>49</v>
      </c>
      <c r="M490" t="s">
        <v>33</v>
      </c>
      <c r="N490">
        <v>12999</v>
      </c>
      <c r="O490">
        <f t="shared" si="21"/>
        <v>77997</v>
      </c>
      <c r="P490" t="str">
        <f t="shared" si="22"/>
        <v>01-1900</v>
      </c>
      <c r="Q490" t="str">
        <f t="shared" si="23"/>
        <v>High</v>
      </c>
    </row>
    <row r="491" spans="1:17" x14ac:dyDescent="0.3">
      <c r="A491" t="s">
        <v>526</v>
      </c>
      <c r="C491" t="s">
        <v>12</v>
      </c>
      <c r="D491" t="s">
        <v>552</v>
      </c>
      <c r="E491" t="s">
        <v>18</v>
      </c>
      <c r="F491" t="s">
        <v>25</v>
      </c>
      <c r="G491" t="s">
        <v>60</v>
      </c>
      <c r="H491">
        <v>1</v>
      </c>
      <c r="I491">
        <v>799.5</v>
      </c>
      <c r="J491">
        <v>50</v>
      </c>
      <c r="K491" s="3">
        <v>30000</v>
      </c>
      <c r="L491" t="s">
        <v>552</v>
      </c>
      <c r="M491" t="s">
        <v>30</v>
      </c>
      <c r="N491">
        <v>399.75</v>
      </c>
      <c r="O491">
        <f t="shared" si="21"/>
        <v>799.5</v>
      </c>
      <c r="P491" t="str">
        <f t="shared" si="22"/>
        <v>01-1900</v>
      </c>
      <c r="Q491" t="str">
        <f t="shared" si="23"/>
        <v>Normal</v>
      </c>
    </row>
    <row r="492" spans="1:17" x14ac:dyDescent="0.3">
      <c r="A492" t="s">
        <v>527</v>
      </c>
      <c r="B492" s="5">
        <v>45306</v>
      </c>
      <c r="C492" t="s">
        <v>12</v>
      </c>
      <c r="D492" t="s">
        <v>52</v>
      </c>
      <c r="E492" t="s">
        <v>36</v>
      </c>
      <c r="F492" t="s">
        <v>25</v>
      </c>
      <c r="G492" t="s">
        <v>552</v>
      </c>
      <c r="H492">
        <v>1</v>
      </c>
      <c r="I492">
        <v>7830.7177904328155</v>
      </c>
      <c r="J492">
        <v>15</v>
      </c>
      <c r="K492" s="3">
        <v>0</v>
      </c>
      <c r="L492" t="s">
        <v>39</v>
      </c>
      <c r="M492" t="s">
        <v>37</v>
      </c>
      <c r="N492">
        <v>6656.1101218678932</v>
      </c>
      <c r="O492">
        <f t="shared" si="21"/>
        <v>7830.7177904328155</v>
      </c>
      <c r="P492" t="str">
        <f t="shared" si="22"/>
        <v>01-2024</v>
      </c>
      <c r="Q492" t="str">
        <f t="shared" si="23"/>
        <v>Normal</v>
      </c>
    </row>
    <row r="493" spans="1:17" x14ac:dyDescent="0.3">
      <c r="A493" t="s">
        <v>528</v>
      </c>
      <c r="B493" s="5">
        <v>45376</v>
      </c>
      <c r="C493" t="s">
        <v>27</v>
      </c>
      <c r="D493" t="s">
        <v>52</v>
      </c>
      <c r="E493" t="s">
        <v>552</v>
      </c>
      <c r="F493" t="s">
        <v>14</v>
      </c>
      <c r="G493" t="s">
        <v>28</v>
      </c>
      <c r="H493">
        <v>3</v>
      </c>
      <c r="I493">
        <v>799.5</v>
      </c>
      <c r="J493">
        <v>0</v>
      </c>
      <c r="K493" s="3">
        <v>15000</v>
      </c>
      <c r="L493" t="s">
        <v>49</v>
      </c>
      <c r="M493" t="s">
        <v>552</v>
      </c>
      <c r="N493">
        <v>2398.5</v>
      </c>
      <c r="O493">
        <f t="shared" si="21"/>
        <v>2398.5</v>
      </c>
      <c r="P493" t="str">
        <f t="shared" si="22"/>
        <v>03-2024</v>
      </c>
      <c r="Q493" t="str">
        <f t="shared" si="23"/>
        <v>Normal</v>
      </c>
    </row>
    <row r="494" spans="1:17" x14ac:dyDescent="0.3">
      <c r="A494" t="s">
        <v>496</v>
      </c>
      <c r="C494" t="s">
        <v>22</v>
      </c>
      <c r="D494" t="s">
        <v>52</v>
      </c>
      <c r="E494" t="s">
        <v>552</v>
      </c>
      <c r="F494" t="s">
        <v>552</v>
      </c>
      <c r="G494" t="s">
        <v>552</v>
      </c>
      <c r="H494">
        <v>3</v>
      </c>
      <c r="I494">
        <v>12999</v>
      </c>
      <c r="J494">
        <v>50</v>
      </c>
      <c r="K494" s="3">
        <v>30000</v>
      </c>
      <c r="L494" t="s">
        <v>49</v>
      </c>
      <c r="M494" t="s">
        <v>30</v>
      </c>
      <c r="N494">
        <v>12999</v>
      </c>
      <c r="O494">
        <f t="shared" si="21"/>
        <v>38997</v>
      </c>
      <c r="P494" t="str">
        <f t="shared" si="22"/>
        <v>01-1900</v>
      </c>
      <c r="Q494" t="str">
        <f t="shared" si="23"/>
        <v>High</v>
      </c>
    </row>
    <row r="495" spans="1:17" x14ac:dyDescent="0.3">
      <c r="A495" t="s">
        <v>530</v>
      </c>
      <c r="B495" s="5">
        <v>45337</v>
      </c>
      <c r="C495" t="s">
        <v>552</v>
      </c>
      <c r="D495" t="s">
        <v>44</v>
      </c>
      <c r="E495" t="s">
        <v>552</v>
      </c>
      <c r="F495" t="s">
        <v>552</v>
      </c>
      <c r="G495" t="s">
        <v>552</v>
      </c>
      <c r="H495">
        <v>2</v>
      </c>
      <c r="I495">
        <v>12999</v>
      </c>
      <c r="J495">
        <v>15</v>
      </c>
      <c r="K495" s="3">
        <v>0</v>
      </c>
      <c r="L495" t="s">
        <v>39</v>
      </c>
      <c r="M495" t="s">
        <v>37</v>
      </c>
      <c r="N495">
        <v>22098.3</v>
      </c>
      <c r="O495">
        <f t="shared" si="21"/>
        <v>25998</v>
      </c>
      <c r="P495" t="str">
        <f t="shared" si="22"/>
        <v>02-2024</v>
      </c>
      <c r="Q495" t="str">
        <f t="shared" si="23"/>
        <v>High</v>
      </c>
    </row>
    <row r="496" spans="1:17" x14ac:dyDescent="0.3">
      <c r="A496" t="s">
        <v>531</v>
      </c>
      <c r="B496" s="5">
        <v>45306</v>
      </c>
      <c r="C496" t="s">
        <v>27</v>
      </c>
      <c r="D496" t="s">
        <v>44</v>
      </c>
      <c r="E496" t="s">
        <v>24</v>
      </c>
      <c r="F496" t="s">
        <v>25</v>
      </c>
      <c r="G496" t="s">
        <v>552</v>
      </c>
      <c r="H496">
        <v>1</v>
      </c>
      <c r="I496">
        <v>7830.7177904328155</v>
      </c>
      <c r="J496">
        <v>50</v>
      </c>
      <c r="K496" s="3">
        <v>30000</v>
      </c>
      <c r="L496" t="s">
        <v>39</v>
      </c>
      <c r="M496" t="s">
        <v>552</v>
      </c>
      <c r="N496">
        <v>3915.3588952164077</v>
      </c>
      <c r="O496">
        <f t="shared" si="21"/>
        <v>7830.7177904328155</v>
      </c>
      <c r="P496" t="str">
        <f t="shared" si="22"/>
        <v>01-2024</v>
      </c>
      <c r="Q496" t="str">
        <f t="shared" si="23"/>
        <v>Normal</v>
      </c>
    </row>
    <row r="497" spans="1:17" x14ac:dyDescent="0.3">
      <c r="A497" t="s">
        <v>498</v>
      </c>
      <c r="C497" t="s">
        <v>27</v>
      </c>
      <c r="D497" t="s">
        <v>52</v>
      </c>
      <c r="E497" t="s">
        <v>36</v>
      </c>
      <c r="F497" t="s">
        <v>19</v>
      </c>
      <c r="G497" t="s">
        <v>47</v>
      </c>
      <c r="H497">
        <v>3</v>
      </c>
      <c r="I497">
        <v>25999</v>
      </c>
      <c r="J497">
        <v>5</v>
      </c>
      <c r="K497" s="3">
        <v>30000</v>
      </c>
      <c r="L497" t="s">
        <v>39</v>
      </c>
      <c r="M497" t="s">
        <v>33</v>
      </c>
      <c r="N497">
        <v>12999</v>
      </c>
      <c r="O497">
        <f t="shared" si="21"/>
        <v>77997</v>
      </c>
      <c r="P497" t="str">
        <f t="shared" si="22"/>
        <v>01-1900</v>
      </c>
      <c r="Q497" t="str">
        <f t="shared" si="23"/>
        <v>High</v>
      </c>
    </row>
    <row r="498" spans="1:17" x14ac:dyDescent="0.3">
      <c r="A498" t="s">
        <v>533</v>
      </c>
      <c r="C498" t="s">
        <v>22</v>
      </c>
      <c r="D498" t="s">
        <v>23</v>
      </c>
      <c r="E498" t="s">
        <v>24</v>
      </c>
      <c r="F498" t="s">
        <v>25</v>
      </c>
      <c r="G498" t="s">
        <v>15</v>
      </c>
      <c r="H498">
        <v>3</v>
      </c>
      <c r="I498">
        <v>799.5</v>
      </c>
      <c r="J498">
        <v>50</v>
      </c>
      <c r="K498" s="3">
        <v>30000</v>
      </c>
      <c r="L498" t="s">
        <v>552</v>
      </c>
      <c r="M498" t="s">
        <v>37</v>
      </c>
      <c r="N498">
        <v>1199.25</v>
      </c>
      <c r="O498">
        <f t="shared" si="21"/>
        <v>2398.5</v>
      </c>
      <c r="P498" t="str">
        <f t="shared" si="22"/>
        <v>01-1900</v>
      </c>
      <c r="Q498" t="str">
        <f t="shared" si="23"/>
        <v>Normal</v>
      </c>
    </row>
    <row r="499" spans="1:17" x14ac:dyDescent="0.3">
      <c r="A499" t="s">
        <v>501</v>
      </c>
      <c r="C499" t="s">
        <v>552</v>
      </c>
      <c r="D499" t="s">
        <v>23</v>
      </c>
      <c r="E499" t="s">
        <v>552</v>
      </c>
      <c r="F499" t="s">
        <v>552</v>
      </c>
      <c r="G499" t="s">
        <v>60</v>
      </c>
      <c r="H499">
        <v>1</v>
      </c>
      <c r="I499">
        <v>25999</v>
      </c>
      <c r="J499">
        <v>10</v>
      </c>
      <c r="K499" s="3">
        <v>0</v>
      </c>
      <c r="L499" t="s">
        <v>39</v>
      </c>
      <c r="M499" t="s">
        <v>16</v>
      </c>
      <c r="N499">
        <v>12349.05</v>
      </c>
      <c r="O499">
        <f t="shared" si="21"/>
        <v>25999</v>
      </c>
      <c r="P499" t="str">
        <f t="shared" si="22"/>
        <v>01-1900</v>
      </c>
      <c r="Q499" t="str">
        <f t="shared" si="23"/>
        <v>High</v>
      </c>
    </row>
    <row r="500" spans="1:17" x14ac:dyDescent="0.3">
      <c r="A500" t="s">
        <v>508</v>
      </c>
      <c r="C500" t="s">
        <v>12</v>
      </c>
      <c r="D500" t="s">
        <v>13</v>
      </c>
      <c r="E500" t="s">
        <v>552</v>
      </c>
      <c r="F500" t="s">
        <v>552</v>
      </c>
      <c r="G500" t="s">
        <v>60</v>
      </c>
      <c r="H500">
        <v>3</v>
      </c>
      <c r="I500">
        <v>12999</v>
      </c>
      <c r="J500">
        <v>0</v>
      </c>
      <c r="K500" s="3">
        <v>30000</v>
      </c>
      <c r="L500" t="s">
        <v>39</v>
      </c>
      <c r="M500" t="s">
        <v>33</v>
      </c>
      <c r="N500">
        <v>12349.05</v>
      </c>
      <c r="O500">
        <f t="shared" si="21"/>
        <v>38997</v>
      </c>
      <c r="P500" t="str">
        <f t="shared" si="22"/>
        <v>01-1900</v>
      </c>
      <c r="Q500" t="str">
        <f t="shared" si="23"/>
        <v>High</v>
      </c>
    </row>
    <row r="501" spans="1:17" x14ac:dyDescent="0.3">
      <c r="A501" t="s">
        <v>511</v>
      </c>
      <c r="C501" t="s">
        <v>552</v>
      </c>
      <c r="D501" t="s">
        <v>13</v>
      </c>
      <c r="E501" t="s">
        <v>24</v>
      </c>
      <c r="F501" t="s">
        <v>25</v>
      </c>
      <c r="G501" t="s">
        <v>552</v>
      </c>
      <c r="H501">
        <v>4</v>
      </c>
      <c r="I501">
        <v>7830.7177904328155</v>
      </c>
      <c r="J501">
        <v>5</v>
      </c>
      <c r="K501" s="3">
        <v>30000</v>
      </c>
      <c r="L501" t="s">
        <v>39</v>
      </c>
      <c r="M501" t="s">
        <v>16</v>
      </c>
      <c r="N501">
        <v>11746.076685649223</v>
      </c>
      <c r="O501">
        <f t="shared" si="21"/>
        <v>31322.871161731262</v>
      </c>
      <c r="P501" t="str">
        <f t="shared" si="22"/>
        <v>01-1900</v>
      </c>
      <c r="Q501" t="str">
        <f t="shared" si="23"/>
        <v>High</v>
      </c>
    </row>
    <row r="502" spans="1:17" x14ac:dyDescent="0.3">
      <c r="A502" t="s">
        <v>537</v>
      </c>
      <c r="B502" s="5">
        <v>45337</v>
      </c>
      <c r="C502" t="s">
        <v>552</v>
      </c>
      <c r="D502" t="s">
        <v>44</v>
      </c>
      <c r="E502" t="s">
        <v>18</v>
      </c>
      <c r="F502" t="s">
        <v>552</v>
      </c>
      <c r="G502" t="s">
        <v>15</v>
      </c>
      <c r="H502">
        <v>3</v>
      </c>
      <c r="I502">
        <v>799.5</v>
      </c>
      <c r="J502">
        <v>50</v>
      </c>
      <c r="K502" s="3">
        <v>0</v>
      </c>
      <c r="L502" t="s">
        <v>49</v>
      </c>
      <c r="M502" t="s">
        <v>37</v>
      </c>
      <c r="N502">
        <v>1199.25</v>
      </c>
      <c r="O502">
        <f t="shared" si="21"/>
        <v>2398.5</v>
      </c>
      <c r="P502" t="str">
        <f t="shared" si="22"/>
        <v>02-2024</v>
      </c>
      <c r="Q502" t="str">
        <f t="shared" si="23"/>
        <v>Normal</v>
      </c>
    </row>
    <row r="503" spans="1:17" x14ac:dyDescent="0.3">
      <c r="A503" t="s">
        <v>515</v>
      </c>
      <c r="C503" t="s">
        <v>22</v>
      </c>
      <c r="D503" t="s">
        <v>13</v>
      </c>
      <c r="E503" t="s">
        <v>24</v>
      </c>
      <c r="F503" t="s">
        <v>19</v>
      </c>
      <c r="G503" t="s">
        <v>60</v>
      </c>
      <c r="H503">
        <v>3</v>
      </c>
      <c r="I503">
        <v>12999</v>
      </c>
      <c r="J503">
        <v>0</v>
      </c>
      <c r="K503" s="3">
        <v>499.99</v>
      </c>
      <c r="L503" t="s">
        <v>552</v>
      </c>
      <c r="M503" t="s">
        <v>30</v>
      </c>
      <c r="N503">
        <v>11746.076685649223</v>
      </c>
      <c r="O503">
        <f t="shared" si="21"/>
        <v>38997</v>
      </c>
      <c r="P503" t="str">
        <f t="shared" si="22"/>
        <v>01-1900</v>
      </c>
      <c r="Q503" t="str">
        <f t="shared" si="23"/>
        <v>High</v>
      </c>
    </row>
    <row r="504" spans="1:17" x14ac:dyDescent="0.3">
      <c r="A504" t="s">
        <v>539</v>
      </c>
      <c r="C504" t="s">
        <v>552</v>
      </c>
      <c r="D504" t="s">
        <v>552</v>
      </c>
      <c r="E504" t="s">
        <v>36</v>
      </c>
      <c r="F504" t="s">
        <v>552</v>
      </c>
      <c r="G504" t="s">
        <v>47</v>
      </c>
      <c r="H504">
        <v>1</v>
      </c>
      <c r="I504">
        <v>799.5</v>
      </c>
      <c r="J504">
        <v>50</v>
      </c>
      <c r="K504" s="3">
        <v>0</v>
      </c>
      <c r="L504" t="s">
        <v>53</v>
      </c>
      <c r="M504" t="s">
        <v>16</v>
      </c>
      <c r="N504">
        <v>399.75</v>
      </c>
      <c r="O504">
        <f t="shared" si="21"/>
        <v>799.5</v>
      </c>
      <c r="P504" t="str">
        <f t="shared" si="22"/>
        <v>01-1900</v>
      </c>
      <c r="Q504" t="str">
        <f t="shared" si="23"/>
        <v>Normal</v>
      </c>
    </row>
    <row r="505" spans="1:17" x14ac:dyDescent="0.3">
      <c r="A505" t="s">
        <v>520</v>
      </c>
      <c r="C505" t="s">
        <v>22</v>
      </c>
      <c r="D505" t="s">
        <v>552</v>
      </c>
      <c r="E505" t="s">
        <v>24</v>
      </c>
      <c r="F505" t="s">
        <v>552</v>
      </c>
      <c r="G505" t="s">
        <v>47</v>
      </c>
      <c r="H505">
        <v>2</v>
      </c>
      <c r="I505">
        <v>12999</v>
      </c>
      <c r="J505">
        <v>0</v>
      </c>
      <c r="K505" s="3">
        <v>15000</v>
      </c>
      <c r="L505" t="s">
        <v>39</v>
      </c>
      <c r="M505" t="s">
        <v>16</v>
      </c>
      <c r="N505">
        <v>11746.076685649223</v>
      </c>
      <c r="O505">
        <f t="shared" si="21"/>
        <v>25998</v>
      </c>
      <c r="P505" t="str">
        <f t="shared" si="22"/>
        <v>01-1900</v>
      </c>
      <c r="Q505" t="str">
        <f t="shared" si="23"/>
        <v>High</v>
      </c>
    </row>
    <row r="506" spans="1:17" x14ac:dyDescent="0.3">
      <c r="A506" t="s">
        <v>541</v>
      </c>
      <c r="C506" t="s">
        <v>32</v>
      </c>
      <c r="D506" t="s">
        <v>52</v>
      </c>
      <c r="E506" t="s">
        <v>18</v>
      </c>
      <c r="F506" t="s">
        <v>552</v>
      </c>
      <c r="G506" t="s">
        <v>20</v>
      </c>
      <c r="H506">
        <v>2</v>
      </c>
      <c r="I506">
        <v>799.5</v>
      </c>
      <c r="J506">
        <v>0</v>
      </c>
      <c r="K506" s="3">
        <v>0</v>
      </c>
      <c r="L506" t="s">
        <v>39</v>
      </c>
      <c r="M506" t="s">
        <v>16</v>
      </c>
      <c r="N506">
        <v>1599</v>
      </c>
      <c r="O506">
        <f t="shared" si="21"/>
        <v>1599</v>
      </c>
      <c r="P506" t="str">
        <f t="shared" si="22"/>
        <v>01-1900</v>
      </c>
      <c r="Q506" t="str">
        <f t="shared" si="23"/>
        <v>Normal</v>
      </c>
    </row>
    <row r="507" spans="1:17" x14ac:dyDescent="0.3">
      <c r="A507" t="s">
        <v>542</v>
      </c>
      <c r="C507" t="s">
        <v>12</v>
      </c>
      <c r="D507" t="s">
        <v>52</v>
      </c>
      <c r="E507" t="s">
        <v>552</v>
      </c>
      <c r="F507" t="s">
        <v>25</v>
      </c>
      <c r="G507" t="s">
        <v>28</v>
      </c>
      <c r="H507">
        <v>1</v>
      </c>
      <c r="I507">
        <v>499.99</v>
      </c>
      <c r="J507">
        <v>50</v>
      </c>
      <c r="K507" s="3">
        <v>30000</v>
      </c>
      <c r="L507" t="s">
        <v>29</v>
      </c>
      <c r="M507" t="s">
        <v>552</v>
      </c>
      <c r="N507">
        <v>249.995</v>
      </c>
      <c r="O507">
        <f t="shared" si="21"/>
        <v>499.99</v>
      </c>
      <c r="P507" t="str">
        <f t="shared" si="22"/>
        <v>01-1900</v>
      </c>
      <c r="Q507" t="str">
        <f t="shared" si="23"/>
        <v>Normal</v>
      </c>
    </row>
    <row r="508" spans="1:17" x14ac:dyDescent="0.3">
      <c r="A508" t="s">
        <v>543</v>
      </c>
      <c r="C508" t="s">
        <v>552</v>
      </c>
      <c r="D508" t="s">
        <v>552</v>
      </c>
      <c r="E508" t="s">
        <v>36</v>
      </c>
      <c r="F508" t="s">
        <v>14</v>
      </c>
      <c r="G508" t="s">
        <v>60</v>
      </c>
      <c r="H508">
        <v>4</v>
      </c>
      <c r="I508">
        <v>799.5</v>
      </c>
      <c r="J508">
        <v>0</v>
      </c>
      <c r="K508" s="3">
        <v>499.99</v>
      </c>
      <c r="L508" t="s">
        <v>53</v>
      </c>
      <c r="M508" t="s">
        <v>33</v>
      </c>
      <c r="N508">
        <v>3198</v>
      </c>
      <c r="O508">
        <f t="shared" si="21"/>
        <v>3198</v>
      </c>
      <c r="P508" t="str">
        <f t="shared" si="22"/>
        <v>01-1900</v>
      </c>
      <c r="Q508" t="str">
        <f t="shared" si="23"/>
        <v>Normal</v>
      </c>
    </row>
    <row r="509" spans="1:17" x14ac:dyDescent="0.3">
      <c r="A509" t="s">
        <v>544</v>
      </c>
      <c r="B509" s="5">
        <v>45306</v>
      </c>
      <c r="C509" t="s">
        <v>552</v>
      </c>
      <c r="D509" t="s">
        <v>44</v>
      </c>
      <c r="E509" t="s">
        <v>36</v>
      </c>
      <c r="F509" t="s">
        <v>552</v>
      </c>
      <c r="G509" t="s">
        <v>552</v>
      </c>
      <c r="H509">
        <v>1</v>
      </c>
      <c r="I509">
        <v>7830.7177904328155</v>
      </c>
      <c r="J509">
        <v>15</v>
      </c>
      <c r="K509" s="3">
        <v>30000</v>
      </c>
      <c r="L509" t="s">
        <v>29</v>
      </c>
      <c r="M509" t="s">
        <v>16</v>
      </c>
      <c r="N509">
        <v>6656.1101218678932</v>
      </c>
      <c r="O509">
        <f t="shared" si="21"/>
        <v>7830.7177904328155</v>
      </c>
      <c r="P509" t="str">
        <f t="shared" si="22"/>
        <v>01-2024</v>
      </c>
      <c r="Q509" t="str">
        <f t="shared" si="23"/>
        <v>Normal</v>
      </c>
    </row>
    <row r="510" spans="1:17" x14ac:dyDescent="0.3">
      <c r="A510" t="s">
        <v>545</v>
      </c>
      <c r="C510" t="s">
        <v>27</v>
      </c>
      <c r="D510" t="s">
        <v>23</v>
      </c>
      <c r="E510" t="s">
        <v>18</v>
      </c>
      <c r="F510" t="s">
        <v>25</v>
      </c>
      <c r="G510" t="s">
        <v>15</v>
      </c>
      <c r="H510">
        <v>1</v>
      </c>
      <c r="I510">
        <v>799.5</v>
      </c>
      <c r="J510">
        <v>10</v>
      </c>
      <c r="K510" s="3">
        <v>499.99</v>
      </c>
      <c r="L510" t="s">
        <v>49</v>
      </c>
      <c r="M510" t="s">
        <v>30</v>
      </c>
      <c r="N510">
        <v>719.55000000000007</v>
      </c>
      <c r="O510">
        <f t="shared" si="21"/>
        <v>799.5</v>
      </c>
      <c r="P510" t="str">
        <f t="shared" si="22"/>
        <v>01-1900</v>
      </c>
      <c r="Q510" t="str">
        <f t="shared" si="23"/>
        <v>Normal</v>
      </c>
    </row>
    <row r="511" spans="1:17" x14ac:dyDescent="0.3">
      <c r="A511" t="s">
        <v>529</v>
      </c>
      <c r="C511" t="s">
        <v>32</v>
      </c>
      <c r="D511" t="s">
        <v>52</v>
      </c>
      <c r="E511" t="s">
        <v>552</v>
      </c>
      <c r="F511" t="s">
        <v>552</v>
      </c>
      <c r="G511" t="s">
        <v>552</v>
      </c>
      <c r="H511">
        <v>3</v>
      </c>
      <c r="I511">
        <v>12999</v>
      </c>
      <c r="J511">
        <v>0</v>
      </c>
      <c r="K511" s="3">
        <v>30000</v>
      </c>
      <c r="L511" t="s">
        <v>53</v>
      </c>
      <c r="M511" t="s">
        <v>552</v>
      </c>
      <c r="N511">
        <v>11699.1</v>
      </c>
      <c r="O511">
        <f t="shared" si="21"/>
        <v>38997</v>
      </c>
      <c r="P511" t="str">
        <f t="shared" si="22"/>
        <v>01-1900</v>
      </c>
      <c r="Q511" t="str">
        <f t="shared" si="23"/>
        <v>High</v>
      </c>
    </row>
    <row r="512" spans="1:17" x14ac:dyDescent="0.3">
      <c r="A512" t="s">
        <v>547</v>
      </c>
      <c r="B512" s="5">
        <v>45376</v>
      </c>
      <c r="C512" t="s">
        <v>22</v>
      </c>
      <c r="D512" t="s">
        <v>23</v>
      </c>
      <c r="E512" t="s">
        <v>552</v>
      </c>
      <c r="F512" t="s">
        <v>14</v>
      </c>
      <c r="G512" t="s">
        <v>60</v>
      </c>
      <c r="H512">
        <v>1</v>
      </c>
      <c r="I512">
        <v>7830.7177904328155</v>
      </c>
      <c r="J512">
        <v>5</v>
      </c>
      <c r="K512" s="3">
        <v>30000</v>
      </c>
      <c r="L512" t="s">
        <v>552</v>
      </c>
      <c r="M512" t="s">
        <v>552</v>
      </c>
      <c r="N512">
        <v>7439.1819009111741</v>
      </c>
      <c r="O512">
        <f t="shared" si="21"/>
        <v>7830.7177904328155</v>
      </c>
      <c r="P512" t="str">
        <f t="shared" si="22"/>
        <v>03-2024</v>
      </c>
      <c r="Q512" t="str">
        <f t="shared" si="23"/>
        <v>Normal</v>
      </c>
    </row>
    <row r="513" spans="1:17" x14ac:dyDescent="0.3">
      <c r="A513" t="s">
        <v>535</v>
      </c>
      <c r="C513" t="s">
        <v>552</v>
      </c>
      <c r="D513" t="s">
        <v>44</v>
      </c>
      <c r="E513" t="s">
        <v>552</v>
      </c>
      <c r="F513" t="s">
        <v>14</v>
      </c>
      <c r="G513" t="s">
        <v>20</v>
      </c>
      <c r="H513">
        <v>2</v>
      </c>
      <c r="I513">
        <v>7830.7177904328155</v>
      </c>
      <c r="J513">
        <v>15</v>
      </c>
      <c r="K513" s="3">
        <v>0</v>
      </c>
      <c r="L513" t="s">
        <v>29</v>
      </c>
      <c r="M513" t="s">
        <v>552</v>
      </c>
      <c r="N513">
        <v>11699.1</v>
      </c>
      <c r="O513">
        <f t="shared" si="21"/>
        <v>15661.435580865631</v>
      </c>
      <c r="P513" t="str">
        <f t="shared" si="22"/>
        <v>01-1900</v>
      </c>
      <c r="Q513" t="str">
        <f t="shared" si="23"/>
        <v>High</v>
      </c>
    </row>
    <row r="514" spans="1:17" x14ac:dyDescent="0.3">
      <c r="A514" t="s">
        <v>548</v>
      </c>
      <c r="C514" t="s">
        <v>27</v>
      </c>
      <c r="D514" t="s">
        <v>44</v>
      </c>
      <c r="E514" t="s">
        <v>24</v>
      </c>
      <c r="F514" t="s">
        <v>552</v>
      </c>
      <c r="G514" t="s">
        <v>15</v>
      </c>
      <c r="H514">
        <v>3</v>
      </c>
      <c r="I514">
        <v>7830.7177904328155</v>
      </c>
      <c r="J514">
        <v>50</v>
      </c>
      <c r="K514" s="3">
        <v>0</v>
      </c>
      <c r="L514" t="s">
        <v>39</v>
      </c>
      <c r="M514" t="s">
        <v>33</v>
      </c>
      <c r="N514">
        <v>11049.15</v>
      </c>
      <c r="O514">
        <f t="shared" si="21"/>
        <v>23492.153371298446</v>
      </c>
      <c r="P514" t="str">
        <f t="shared" si="22"/>
        <v>01-1900</v>
      </c>
      <c r="Q514" t="str">
        <f t="shared" si="23"/>
        <v>High</v>
      </c>
    </row>
    <row r="515" spans="1:17" x14ac:dyDescent="0.3">
      <c r="A515" t="s">
        <v>550</v>
      </c>
      <c r="B515" s="5">
        <v>45376</v>
      </c>
      <c r="C515" t="s">
        <v>552</v>
      </c>
      <c r="D515" t="s">
        <v>552</v>
      </c>
      <c r="E515" t="s">
        <v>36</v>
      </c>
      <c r="F515" t="s">
        <v>19</v>
      </c>
      <c r="G515" t="s">
        <v>28</v>
      </c>
      <c r="H515">
        <v>1</v>
      </c>
      <c r="I515">
        <v>7830.7177904328155</v>
      </c>
      <c r="J515">
        <v>15</v>
      </c>
      <c r="K515" s="3">
        <v>499.99</v>
      </c>
      <c r="L515" t="s">
        <v>39</v>
      </c>
      <c r="M515" t="s">
        <v>552</v>
      </c>
      <c r="N515">
        <v>6656.1101218678932</v>
      </c>
      <c r="O515">
        <f t="shared" ref="O515:O551" si="24">H515*I515</f>
        <v>7830.7177904328155</v>
      </c>
      <c r="P515" t="str">
        <f t="shared" ref="P515:P551" si="25">TEXT(B515,"MM-YYYY")</f>
        <v>03-2024</v>
      </c>
      <c r="Q515" t="str">
        <f t="shared" ref="Q515:Q551" si="26">IF(N515&gt;10000,"High","Normal")</f>
        <v>Normal</v>
      </c>
    </row>
    <row r="516" spans="1:17" x14ac:dyDescent="0.3">
      <c r="A516" t="s">
        <v>551</v>
      </c>
      <c r="B516" s="5">
        <v>45337</v>
      </c>
      <c r="C516" t="s">
        <v>12</v>
      </c>
      <c r="D516" t="s">
        <v>44</v>
      </c>
      <c r="E516" t="s">
        <v>552</v>
      </c>
      <c r="F516" t="s">
        <v>14</v>
      </c>
      <c r="G516" t="s">
        <v>552</v>
      </c>
      <c r="H516">
        <v>3</v>
      </c>
      <c r="I516">
        <v>799.5</v>
      </c>
      <c r="J516">
        <v>5</v>
      </c>
      <c r="K516" s="3">
        <v>499.99</v>
      </c>
      <c r="L516" t="s">
        <v>39</v>
      </c>
      <c r="M516" t="s">
        <v>30</v>
      </c>
      <c r="N516">
        <v>2278.5749999999998</v>
      </c>
      <c r="O516">
        <f t="shared" si="24"/>
        <v>2398.5</v>
      </c>
      <c r="P516" t="str">
        <f t="shared" si="25"/>
        <v>02-2024</v>
      </c>
      <c r="Q516" t="str">
        <f t="shared" si="26"/>
        <v>Normal</v>
      </c>
    </row>
    <row r="517" spans="1:17" x14ac:dyDescent="0.3">
      <c r="K517" s="3">
        <v>499.99</v>
      </c>
      <c r="O517">
        <f t="shared" si="24"/>
        <v>0</v>
      </c>
      <c r="P517" t="str">
        <f t="shared" si="25"/>
        <v>01-1900</v>
      </c>
      <c r="Q517" t="str">
        <f t="shared" si="26"/>
        <v>Normal</v>
      </c>
    </row>
    <row r="518" spans="1:17" x14ac:dyDescent="0.3">
      <c r="K518" s="3">
        <v>30000</v>
      </c>
      <c r="O518">
        <f t="shared" si="24"/>
        <v>0</v>
      </c>
      <c r="P518" t="str">
        <f t="shared" si="25"/>
        <v>01-1900</v>
      </c>
      <c r="Q518" t="str">
        <f t="shared" si="26"/>
        <v>Normal</v>
      </c>
    </row>
    <row r="519" spans="1:17" x14ac:dyDescent="0.3">
      <c r="K519" s="3">
        <v>-500</v>
      </c>
      <c r="O519">
        <f t="shared" si="24"/>
        <v>0</v>
      </c>
      <c r="P519" t="str">
        <f t="shared" si="25"/>
        <v>01-1900</v>
      </c>
      <c r="Q519" t="str">
        <f t="shared" si="26"/>
        <v>Normal</v>
      </c>
    </row>
    <row r="520" spans="1:17" x14ac:dyDescent="0.3">
      <c r="K520" s="3">
        <v>0</v>
      </c>
      <c r="O520">
        <f t="shared" si="24"/>
        <v>0</v>
      </c>
      <c r="P520" t="str">
        <f t="shared" si="25"/>
        <v>01-1900</v>
      </c>
      <c r="Q520" t="str">
        <f t="shared" si="26"/>
        <v>Normal</v>
      </c>
    </row>
    <row r="521" spans="1:17" x14ac:dyDescent="0.3">
      <c r="K521" s="3">
        <v>0</v>
      </c>
      <c r="O521">
        <f t="shared" si="24"/>
        <v>0</v>
      </c>
      <c r="P521" t="str">
        <f t="shared" si="25"/>
        <v>01-1900</v>
      </c>
      <c r="Q521" t="str">
        <f t="shared" si="26"/>
        <v>Normal</v>
      </c>
    </row>
    <row r="522" spans="1:17" x14ac:dyDescent="0.3">
      <c r="K522" s="3">
        <v>0</v>
      </c>
      <c r="O522">
        <f t="shared" si="24"/>
        <v>0</v>
      </c>
      <c r="P522" t="str">
        <f t="shared" si="25"/>
        <v>01-1900</v>
      </c>
      <c r="Q522" t="str">
        <f t="shared" si="26"/>
        <v>Normal</v>
      </c>
    </row>
    <row r="523" spans="1:17" x14ac:dyDescent="0.3">
      <c r="K523" s="3">
        <v>0</v>
      </c>
      <c r="O523">
        <f t="shared" si="24"/>
        <v>0</v>
      </c>
      <c r="P523" t="str">
        <f t="shared" si="25"/>
        <v>01-1900</v>
      </c>
      <c r="Q523" t="str">
        <f t="shared" si="26"/>
        <v>Normal</v>
      </c>
    </row>
    <row r="524" spans="1:17" x14ac:dyDescent="0.3">
      <c r="K524" s="3">
        <v>499.99</v>
      </c>
      <c r="O524">
        <f t="shared" si="24"/>
        <v>0</v>
      </c>
      <c r="P524" t="str">
        <f t="shared" si="25"/>
        <v>01-1900</v>
      </c>
      <c r="Q524" t="str">
        <f t="shared" si="26"/>
        <v>Normal</v>
      </c>
    </row>
    <row r="525" spans="1:17" x14ac:dyDescent="0.3">
      <c r="K525" s="3">
        <v>30000</v>
      </c>
      <c r="O525">
        <f t="shared" si="24"/>
        <v>0</v>
      </c>
      <c r="P525" t="str">
        <f t="shared" si="25"/>
        <v>01-1900</v>
      </c>
      <c r="Q525" t="str">
        <f t="shared" si="26"/>
        <v>Normal</v>
      </c>
    </row>
    <row r="526" spans="1:17" x14ac:dyDescent="0.3">
      <c r="K526" s="3">
        <v>-500</v>
      </c>
      <c r="O526">
        <f t="shared" si="24"/>
        <v>0</v>
      </c>
      <c r="P526" t="str">
        <f t="shared" si="25"/>
        <v>01-1900</v>
      </c>
      <c r="Q526" t="str">
        <f t="shared" si="26"/>
        <v>Normal</v>
      </c>
    </row>
    <row r="527" spans="1:17" x14ac:dyDescent="0.3">
      <c r="K527" s="3">
        <v>15000</v>
      </c>
      <c r="O527">
        <f t="shared" si="24"/>
        <v>0</v>
      </c>
      <c r="P527" t="str">
        <f t="shared" si="25"/>
        <v>01-1900</v>
      </c>
      <c r="Q527" t="str">
        <f t="shared" si="26"/>
        <v>Normal</v>
      </c>
    </row>
    <row r="528" spans="1:17" x14ac:dyDescent="0.3">
      <c r="K528" s="3">
        <v>15000</v>
      </c>
      <c r="O528">
        <f t="shared" si="24"/>
        <v>0</v>
      </c>
      <c r="P528" t="str">
        <f t="shared" si="25"/>
        <v>01-1900</v>
      </c>
      <c r="Q528" t="str">
        <f t="shared" si="26"/>
        <v>Normal</v>
      </c>
    </row>
    <row r="529" spans="11:17" x14ac:dyDescent="0.3">
      <c r="K529" s="3">
        <v>-500</v>
      </c>
      <c r="O529">
        <f t="shared" si="24"/>
        <v>0</v>
      </c>
      <c r="P529" t="str">
        <f t="shared" si="25"/>
        <v>01-1900</v>
      </c>
      <c r="Q529" t="str">
        <f t="shared" si="26"/>
        <v>Normal</v>
      </c>
    </row>
    <row r="530" spans="11:17" x14ac:dyDescent="0.3">
      <c r="K530" s="3">
        <v>30000</v>
      </c>
      <c r="O530">
        <f t="shared" si="24"/>
        <v>0</v>
      </c>
      <c r="P530" t="str">
        <f t="shared" si="25"/>
        <v>01-1900</v>
      </c>
      <c r="Q530" t="str">
        <f t="shared" si="26"/>
        <v>Normal</v>
      </c>
    </row>
    <row r="531" spans="11:17" x14ac:dyDescent="0.3">
      <c r="K531" s="3">
        <v>0</v>
      </c>
      <c r="O531">
        <f t="shared" si="24"/>
        <v>0</v>
      </c>
      <c r="P531" t="str">
        <f t="shared" si="25"/>
        <v>01-1900</v>
      </c>
      <c r="Q531" t="str">
        <f t="shared" si="26"/>
        <v>Normal</v>
      </c>
    </row>
    <row r="532" spans="11:17" x14ac:dyDescent="0.3">
      <c r="K532" s="3">
        <v>0</v>
      </c>
      <c r="O532">
        <f t="shared" si="24"/>
        <v>0</v>
      </c>
      <c r="P532" t="str">
        <f t="shared" si="25"/>
        <v>01-1900</v>
      </c>
      <c r="Q532" t="str">
        <f t="shared" si="26"/>
        <v>Normal</v>
      </c>
    </row>
    <row r="533" spans="11:17" x14ac:dyDescent="0.3">
      <c r="K533" s="3">
        <v>0</v>
      </c>
      <c r="O533">
        <f t="shared" si="24"/>
        <v>0</v>
      </c>
      <c r="P533" t="str">
        <f t="shared" si="25"/>
        <v>01-1900</v>
      </c>
      <c r="Q533" t="str">
        <f t="shared" si="26"/>
        <v>Normal</v>
      </c>
    </row>
    <row r="534" spans="11:17" x14ac:dyDescent="0.3">
      <c r="K534" s="3">
        <v>499.99</v>
      </c>
      <c r="O534">
        <f t="shared" si="24"/>
        <v>0</v>
      </c>
      <c r="P534" t="str">
        <f t="shared" si="25"/>
        <v>01-1900</v>
      </c>
      <c r="Q534" t="str">
        <f t="shared" si="26"/>
        <v>Normal</v>
      </c>
    </row>
    <row r="535" spans="11:17" x14ac:dyDescent="0.3">
      <c r="K535" s="3">
        <v>499.99</v>
      </c>
      <c r="O535">
        <f t="shared" si="24"/>
        <v>0</v>
      </c>
      <c r="P535" t="str">
        <f t="shared" si="25"/>
        <v>01-1900</v>
      </c>
      <c r="Q535" t="str">
        <f t="shared" si="26"/>
        <v>Normal</v>
      </c>
    </row>
    <row r="536" spans="11:17" x14ac:dyDescent="0.3">
      <c r="K536" s="3">
        <v>0</v>
      </c>
      <c r="O536">
        <f t="shared" si="24"/>
        <v>0</v>
      </c>
      <c r="P536" t="str">
        <f t="shared" si="25"/>
        <v>01-1900</v>
      </c>
      <c r="Q536" t="str">
        <f t="shared" si="26"/>
        <v>Normal</v>
      </c>
    </row>
    <row r="537" spans="11:17" x14ac:dyDescent="0.3">
      <c r="K537" s="3">
        <v>15000</v>
      </c>
      <c r="O537">
        <f t="shared" si="24"/>
        <v>0</v>
      </c>
      <c r="P537" t="str">
        <f t="shared" si="25"/>
        <v>01-1900</v>
      </c>
      <c r="Q537" t="str">
        <f t="shared" si="26"/>
        <v>Normal</v>
      </c>
    </row>
    <row r="538" spans="11:17" x14ac:dyDescent="0.3">
      <c r="K538" s="3">
        <v>0</v>
      </c>
      <c r="O538">
        <f t="shared" si="24"/>
        <v>0</v>
      </c>
      <c r="P538" t="str">
        <f t="shared" si="25"/>
        <v>01-1900</v>
      </c>
      <c r="Q538" t="str">
        <f t="shared" si="26"/>
        <v>Normal</v>
      </c>
    </row>
    <row r="539" spans="11:17" x14ac:dyDescent="0.3">
      <c r="K539" s="3">
        <v>0</v>
      </c>
      <c r="O539">
        <f t="shared" si="24"/>
        <v>0</v>
      </c>
      <c r="P539" t="str">
        <f t="shared" si="25"/>
        <v>01-1900</v>
      </c>
      <c r="Q539" t="str">
        <f t="shared" si="26"/>
        <v>Normal</v>
      </c>
    </row>
    <row r="540" spans="11:17" x14ac:dyDescent="0.3">
      <c r="K540" s="3">
        <v>0</v>
      </c>
      <c r="O540">
        <f t="shared" si="24"/>
        <v>0</v>
      </c>
      <c r="P540" t="str">
        <f t="shared" si="25"/>
        <v>01-1900</v>
      </c>
      <c r="Q540" t="str">
        <f t="shared" si="26"/>
        <v>Normal</v>
      </c>
    </row>
    <row r="541" spans="11:17" x14ac:dyDescent="0.3">
      <c r="K541" s="3">
        <v>-500</v>
      </c>
      <c r="O541">
        <f t="shared" si="24"/>
        <v>0</v>
      </c>
      <c r="P541" t="str">
        <f t="shared" si="25"/>
        <v>01-1900</v>
      </c>
      <c r="Q541" t="str">
        <f t="shared" si="26"/>
        <v>Normal</v>
      </c>
    </row>
    <row r="542" spans="11:17" x14ac:dyDescent="0.3">
      <c r="K542" s="3">
        <v>30000</v>
      </c>
      <c r="O542">
        <f t="shared" si="24"/>
        <v>0</v>
      </c>
      <c r="P542" t="str">
        <f t="shared" si="25"/>
        <v>01-1900</v>
      </c>
      <c r="Q542" t="str">
        <f t="shared" si="26"/>
        <v>Normal</v>
      </c>
    </row>
    <row r="543" spans="11:17" x14ac:dyDescent="0.3">
      <c r="K543" s="3">
        <v>499.99</v>
      </c>
      <c r="O543">
        <f t="shared" si="24"/>
        <v>0</v>
      </c>
      <c r="P543" t="str">
        <f t="shared" si="25"/>
        <v>01-1900</v>
      </c>
      <c r="Q543" t="str">
        <f t="shared" si="26"/>
        <v>Normal</v>
      </c>
    </row>
    <row r="544" spans="11:17" x14ac:dyDescent="0.3">
      <c r="K544" s="3">
        <v>0</v>
      </c>
      <c r="O544">
        <f t="shared" si="24"/>
        <v>0</v>
      </c>
      <c r="P544" t="str">
        <f t="shared" si="25"/>
        <v>01-1900</v>
      </c>
      <c r="Q544" t="str">
        <f t="shared" si="26"/>
        <v>Normal</v>
      </c>
    </row>
    <row r="545" spans="11:17" x14ac:dyDescent="0.3">
      <c r="K545" s="3">
        <v>0</v>
      </c>
      <c r="O545">
        <f t="shared" si="24"/>
        <v>0</v>
      </c>
      <c r="P545" t="str">
        <f t="shared" si="25"/>
        <v>01-1900</v>
      </c>
      <c r="Q545" t="str">
        <f t="shared" si="26"/>
        <v>Normal</v>
      </c>
    </row>
    <row r="546" spans="11:17" x14ac:dyDescent="0.3">
      <c r="K546" s="3">
        <v>0</v>
      </c>
      <c r="O546">
        <f t="shared" si="24"/>
        <v>0</v>
      </c>
      <c r="P546" t="str">
        <f t="shared" si="25"/>
        <v>01-1900</v>
      </c>
      <c r="Q546" t="str">
        <f t="shared" si="26"/>
        <v>Normal</v>
      </c>
    </row>
    <row r="547" spans="11:17" x14ac:dyDescent="0.3">
      <c r="K547" s="3">
        <v>-500</v>
      </c>
      <c r="O547">
        <f t="shared" si="24"/>
        <v>0</v>
      </c>
      <c r="P547" t="str">
        <f t="shared" si="25"/>
        <v>01-1900</v>
      </c>
      <c r="Q547" t="str">
        <f t="shared" si="26"/>
        <v>Normal</v>
      </c>
    </row>
    <row r="548" spans="11:17" x14ac:dyDescent="0.3">
      <c r="K548" s="3">
        <v>0</v>
      </c>
      <c r="O548">
        <f t="shared" si="24"/>
        <v>0</v>
      </c>
      <c r="P548" t="str">
        <f t="shared" si="25"/>
        <v>01-1900</v>
      </c>
      <c r="Q548" t="str">
        <f t="shared" si="26"/>
        <v>Normal</v>
      </c>
    </row>
    <row r="549" spans="11:17" x14ac:dyDescent="0.3">
      <c r="K549" s="3">
        <v>499.99</v>
      </c>
      <c r="O549">
        <f t="shared" si="24"/>
        <v>0</v>
      </c>
      <c r="P549" t="str">
        <f t="shared" si="25"/>
        <v>01-1900</v>
      </c>
      <c r="Q549" t="str">
        <f t="shared" si="26"/>
        <v>Normal</v>
      </c>
    </row>
    <row r="550" spans="11:17" x14ac:dyDescent="0.3">
      <c r="K550" s="3">
        <v>-500</v>
      </c>
      <c r="O550">
        <f t="shared" si="24"/>
        <v>0</v>
      </c>
      <c r="P550" t="str">
        <f t="shared" si="25"/>
        <v>01-1900</v>
      </c>
      <c r="Q550" t="str">
        <f t="shared" si="26"/>
        <v>Normal</v>
      </c>
    </row>
    <row r="551" spans="11:17" x14ac:dyDescent="0.3">
      <c r="K551" s="3">
        <v>0</v>
      </c>
      <c r="O551">
        <f t="shared" si="24"/>
        <v>0</v>
      </c>
      <c r="P551" t="str">
        <f t="shared" si="25"/>
        <v>01-1900</v>
      </c>
      <c r="Q551" t="str">
        <f t="shared" si="26"/>
        <v>Normal</v>
      </c>
    </row>
  </sheetData>
  <autoFilter ref="A1:Q551" xr:uid="{00000000-0001-0000-0000-000000000000}"/>
  <sortState xmlns:xlrd2="http://schemas.microsoft.com/office/spreadsheetml/2017/richdata2" ref="N3:N514">
    <sortCondition descending="1" ref="N2:N5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6351-9C6C-4FC2-BB2E-EF15CCCEECC0}">
  <dimension ref="C3:I21"/>
  <sheetViews>
    <sheetView workbookViewId="0">
      <selection activeCell="C3" sqref="C3:E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6.44140625" bestFit="1" customWidth="1"/>
    <col min="4" max="4" width="15" bestFit="1" customWidth="1"/>
    <col min="5" max="5" width="15.77734375" bestFit="1" customWidth="1"/>
    <col min="6" max="6" width="16.33203125" bestFit="1" customWidth="1"/>
    <col min="7" max="7" width="16.44140625" bestFit="1" customWidth="1"/>
    <col min="8" max="8" width="15" bestFit="1" customWidth="1"/>
    <col min="9" max="9" width="15.77734375" bestFit="1" customWidth="1"/>
  </cols>
  <sheetData>
    <row r="3" spans="3:9" x14ac:dyDescent="0.3">
      <c r="C3" s="6" t="s">
        <v>564</v>
      </c>
      <c r="D3" t="s">
        <v>561</v>
      </c>
      <c r="E3" t="s">
        <v>562</v>
      </c>
      <c r="G3" s="6" t="s">
        <v>565</v>
      </c>
      <c r="H3" t="s">
        <v>561</v>
      </c>
      <c r="I3" t="s">
        <v>562</v>
      </c>
    </row>
    <row r="4" spans="3:9" x14ac:dyDescent="0.3">
      <c r="C4" s="7" t="s">
        <v>14</v>
      </c>
      <c r="D4">
        <v>1046396.3544863332</v>
      </c>
      <c r="E4">
        <v>1008336.6084738051</v>
      </c>
      <c r="G4" s="7" t="s">
        <v>52</v>
      </c>
      <c r="H4">
        <v>1620868.4965182238</v>
      </c>
      <c r="I4">
        <v>1537010.3818451033</v>
      </c>
    </row>
    <row r="5" spans="3:9" x14ac:dyDescent="0.3">
      <c r="C5" s="7" t="s">
        <v>19</v>
      </c>
      <c r="D5">
        <v>2453546.5702460147</v>
      </c>
      <c r="E5">
        <v>2619429.5566059225</v>
      </c>
      <c r="G5" s="7" t="s">
        <v>13</v>
      </c>
      <c r="H5">
        <v>893976.1873405471</v>
      </c>
      <c r="I5">
        <v>944691.25824601413</v>
      </c>
    </row>
    <row r="6" spans="3:9" x14ac:dyDescent="0.3">
      <c r="C6" s="7" t="s">
        <v>25</v>
      </c>
      <c r="D6">
        <v>1216061.9364271075</v>
      </c>
      <c r="E6">
        <v>1556999.5485876997</v>
      </c>
      <c r="G6" s="7" t="s">
        <v>44</v>
      </c>
      <c r="H6">
        <v>1956822.7482528484</v>
      </c>
      <c r="I6">
        <v>2217642.63997722</v>
      </c>
    </row>
    <row r="7" spans="3:9" x14ac:dyDescent="0.3">
      <c r="C7" s="7" t="s">
        <v>552</v>
      </c>
      <c r="D7">
        <v>3165937.8706993177</v>
      </c>
      <c r="E7">
        <v>3798657.8525284748</v>
      </c>
      <c r="G7" s="7" t="s">
        <v>23</v>
      </c>
      <c r="H7">
        <v>1356041.9292448757</v>
      </c>
      <c r="I7">
        <v>1781109.0304555811</v>
      </c>
    </row>
    <row r="8" spans="3:9" x14ac:dyDescent="0.3">
      <c r="C8" s="7" t="s">
        <v>559</v>
      </c>
      <c r="E8">
        <v>0</v>
      </c>
      <c r="G8" s="7" t="s">
        <v>552</v>
      </c>
      <c r="H8">
        <v>2054233.3705022794</v>
      </c>
      <c r="I8">
        <v>2502970.2556719831</v>
      </c>
    </row>
    <row r="9" spans="3:9" x14ac:dyDescent="0.3">
      <c r="C9" s="7" t="s">
        <v>560</v>
      </c>
      <c r="D9">
        <v>7881942.7318587732</v>
      </c>
      <c r="E9">
        <v>8983423.5661959015</v>
      </c>
      <c r="G9" s="7" t="s">
        <v>559</v>
      </c>
      <c r="I9">
        <v>0</v>
      </c>
    </row>
    <row r="10" spans="3:9" x14ac:dyDescent="0.3">
      <c r="G10" s="7" t="s">
        <v>560</v>
      </c>
      <c r="H10">
        <v>7881942.7318587741</v>
      </c>
      <c r="I10">
        <v>8983423.5661959015</v>
      </c>
    </row>
    <row r="14" spans="3:9" x14ac:dyDescent="0.3">
      <c r="F14" s="6" t="s">
        <v>566</v>
      </c>
      <c r="G14" t="s">
        <v>563</v>
      </c>
    </row>
    <row r="15" spans="3:9" x14ac:dyDescent="0.3">
      <c r="F15" s="7" t="s">
        <v>49</v>
      </c>
      <c r="G15">
        <v>67</v>
      </c>
    </row>
    <row r="16" spans="3:9" x14ac:dyDescent="0.3">
      <c r="F16" s="7" t="s">
        <v>29</v>
      </c>
      <c r="G16">
        <v>80</v>
      </c>
    </row>
    <row r="17" spans="6:7" x14ac:dyDescent="0.3">
      <c r="F17" s="7" t="s">
        <v>53</v>
      </c>
      <c r="G17">
        <v>78</v>
      </c>
    </row>
    <row r="18" spans="6:7" x14ac:dyDescent="0.3">
      <c r="F18" s="7" t="s">
        <v>552</v>
      </c>
      <c r="G18">
        <v>148</v>
      </c>
    </row>
    <row r="19" spans="6:7" x14ac:dyDescent="0.3">
      <c r="F19" s="7" t="s">
        <v>39</v>
      </c>
      <c r="G19">
        <v>142</v>
      </c>
    </row>
    <row r="20" spans="6:7" x14ac:dyDescent="0.3">
      <c r="F20" s="7" t="s">
        <v>559</v>
      </c>
    </row>
    <row r="21" spans="6:7" x14ac:dyDescent="0.3">
      <c r="F21" s="7" t="s">
        <v>560</v>
      </c>
      <c r="G21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Raw_Ecommerce_Data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AKHIL</cp:lastModifiedBy>
  <dcterms:created xsi:type="dcterms:W3CDTF">2026-01-17T05:31:02Z</dcterms:created>
  <dcterms:modified xsi:type="dcterms:W3CDTF">2026-01-22T15:50:47Z</dcterms:modified>
</cp:coreProperties>
</file>